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Materialidade" sheetId="2" state="visible" r:id="rId4"/>
    <sheet name="Saldos" sheetId="3" state="visible" r:id="rId5"/>
    <sheet name="Seleção da conta" sheetId="4" state="visible" r:id="rId6"/>
    <sheet name="Riscos" sheetId="5" state="visible" r:id="rId7"/>
    <sheet name="Amostra" sheetId="6" state="visible" r:id="rId8"/>
    <sheet name="Exceções" sheetId="7" state="visible" r:id="rId9"/>
    <sheet name="Analíticos" sheetId="8" state="visible" r:id="rId10"/>
    <sheet name="Programa" sheetId="9" state="visible" r:id="rId11"/>
    <sheet name="Normas" sheetId="10" state="visible" r:id="rId12"/>
  </sheets>
  <definedNames>
    <definedName function="false" hidden="false" localSheetId="5" name="_xlnm.Print_Area" vbProcedure="false">Amostra!$B$2:$K$60</definedName>
    <definedName function="false" hidden="false" localSheetId="5" name="_xlnm.Print_Titles" vbProcedure="false">Amostra!$8:$8</definedName>
    <definedName function="false" hidden="true" localSheetId="5" name="_xlnm._FilterDatabase" vbProcedure="false">Amostra!$C$8:$E$19</definedName>
    <definedName function="false" hidden="false" localSheetId="7" name="_xlnm.Print_Area" vbProcedure="false">Analíticos!$B$2:$K$60</definedName>
    <definedName function="false" hidden="false" localSheetId="7" name="_xlnm.Print_Titles" vbProcedure="false">Analíticos!$8:$8</definedName>
    <definedName function="false" hidden="true" localSheetId="7" name="_xlnm._FilterDatabase" vbProcedure="false">Analíticos!$C$8:$H$12</definedName>
    <definedName function="false" hidden="false" localSheetId="6" name="_xlnm.Print_Area" vbProcedure="false">Exceções!$B$2:$K$60</definedName>
    <definedName function="false" hidden="false" localSheetId="6" name="_xlnm.Print_Titles" vbProcedure="false">Exceções!$8:$8</definedName>
    <definedName function="false" hidden="true" localSheetId="6" name="_xlnm._FilterDatabase" vbProcedure="false">Exceções!$C$8:$G$13</definedName>
    <definedName function="false" hidden="false" localSheetId="0" name="_xlnm.Print_Area" vbProcedure="false">'Leia-me'!$C$3:$D$17</definedName>
    <definedName function="false" hidden="false" localSheetId="0" name="_xlnm.Print_Titles" vbProcedure="false">'Leia-me'!$8:$8</definedName>
    <definedName function="false" hidden="true" localSheetId="0" name="_xlnm._FilterDatabase" vbProcedure="false">'Leia-me'!$C$8:$D$17</definedName>
    <definedName function="false" hidden="false" localSheetId="1" name="_xlnm.Print_Area" vbProcedure="false">Materialidade!$B$2:$K$60</definedName>
    <definedName function="false" hidden="false" localSheetId="1" name="_xlnm.Print_Titles" vbProcedure="false">Materialidade!$8:$8</definedName>
    <definedName function="false" hidden="false" localSheetId="9" name="_xlnm.Print_Area" vbProcedure="false">Normas!$B$2:$K$60</definedName>
    <definedName function="false" hidden="false" localSheetId="9" name="_xlnm.Print_Titles" vbProcedure="false">Normas!$8:$8</definedName>
    <definedName function="false" hidden="true" localSheetId="9" name="_xlnm._FilterDatabase" vbProcedure="false">Normas!$C$8:$G$60</definedName>
    <definedName function="false" hidden="false" localSheetId="8" name="_xlnm.Print_Area" vbProcedure="false">Programa!$B$2:$K$60</definedName>
    <definedName function="false" hidden="false" localSheetId="8" name="_xlnm.Print_Titles" vbProcedure="false">Programa!$8:$8</definedName>
    <definedName function="false" hidden="true" localSheetId="8" name="_xlnm._FilterDatabase" vbProcedure="false">Programa!$C$8:$I$22</definedName>
    <definedName function="false" hidden="false" localSheetId="4" name="_xlnm.Print_Area" vbProcedure="false">Riscos!$B$2:$K$60</definedName>
    <definedName function="false" hidden="false" localSheetId="4" name="_xlnm.Print_Titles" vbProcedure="false">Riscos!$8:$8</definedName>
    <definedName function="false" hidden="true" localSheetId="4" name="_xlnm._FilterDatabase" vbProcedure="false">Riscos!$C$8:$H$16</definedName>
    <definedName function="false" hidden="false" localSheetId="2" name="_xlnm.Print_Area" vbProcedure="false">Saldos!$B$2:$K$60</definedName>
    <definedName function="false" hidden="false" localSheetId="2" name="_xlnm.Print_Titles" vbProcedure="false">Saldos!$8:$8</definedName>
    <definedName function="false" hidden="true" localSheetId="2" name="_xlnm._FilterDatabase" vbProcedure="false">Saldos!$C$8:$F$19</definedName>
    <definedName function="false" hidden="false" localSheetId="3" name="_xlnm.Print_Area" vbProcedure="false">'Seleção da conta'!$B$2:$K$60</definedName>
    <definedName function="false" hidden="false" localSheetId="3" name="_xlnm.Print_Titles" vbProcedure="false">'Seleção da conta'!$8:$8</definedName>
    <definedName function="false" hidden="true" localSheetId="3" name="_xlnm._FilterDatabase" vbProcedure="false">'Seleção da conta'!$C$8:$G$13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DF consolidada 2025, DFC/resultado; 31/12/2025; balanço/resultado, exercício 2025.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3</xdr:row>
                <xdr:rowOff>11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DF consolidada 2025, Nota 27; exercício 2025.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3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DF consolidada 2025, balanço patrimonial; 31/12/2025.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3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Premissa acadêmica: 5% do resultado antes de IR/CSLL, medida potencialmente relevante para entidade lucrativa; PBT caiu 14,0% e inclui subvenções expressivas, portanto foi comparado a receita, ativo e PBT sem a linha de subvenção.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9</xdr:row>
                <xdr:rowOff>11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Premissa conservadora para cenário de auditoria inicial e riscos elevados; percentual é julgamento acadêmico, não regra normativa.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5</xdr:row>
                <xdr:rowOff>16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Premissa didática: 5% da global.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DF consolidada 2025, DFC/resultado; 31/12/2025; balanço/resultado, exercício 2025.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3</xdr:row>
                <xdr:rowOff>11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DF consolidada 2025, Nota 27; exercício 2025.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3</xdr:row>
                <xdr:rowOff>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DF consolidada 2025, balanço patrimonial; 31/12/2025.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3</xdr:row>
                <xdr:rowOff>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Premissa acadêmica: 5% do resultado antes de IR/CSLL, medida potencialmente relevante para entidade lucrativa; PBT caiu 14,0% e inclui subvenções expressivas, portanto foi comparado a receita, ativo e PBT sem a linha de subvenção.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9</xdr:row>
                <xdr:rowOff>11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Premissa conservadora para cenário de auditoria inicial e riscos elevados; percentual é julgamento acadêmico, não regra normativa.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5</xdr:row>
                <xdr:rowOff>16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Premissa didática: 5% da global.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DFs consolidadas 2025; sensibilidade didática, sem ajuste contábil.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14</xdr:rowOff>
              </xdr:from>
              <xdr:to>
                <xdr:col>1</xdr:col>
                <xdr:colOff>55</xdr:colOff>
                <xdr:row>4</xdr:row>
                <xdr:rowOff>20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Premissa de sensibilidade didática: 0,5% da receita líquida publicada.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25</xdr:rowOff>
              </xdr:from>
              <xdr:to>
                <xdr:col>1</xdr:col>
                <xdr:colOff>55</xdr:colOff>
                <xdr:row>6</xdr:row>
                <xdr:rowOff>11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Premissa de sensibilidade didática: 1,0% do ativo total publicado.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24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Fonte saldo: DFs anuais completas, Nota 11, páginas impressas 60–62, consolidado, 31/12/2025. Número de linhas: regra didática do script, não fonte da companhia.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1</xdr:col>
                <xdr:colOff>55</xdr:colOff>
                <xdr:row>7</xdr:row>
                <xdr:rowOff>7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Fonte: M. Dias Branco, Demonstrações Financeiras Anuais Completas 2025/DFP, exercício findo em 31/12/2025, consolidado, valores em BRL mil; saldo conforme balanço/nota identificada.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55</xdr:colOff>
                <xdr:row>7</xdr:row>
                <xdr:rowOff>21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<sst xmlns="http://schemas.openxmlformats.org/spreadsheetml/2006/main" count="629" uniqueCount="567">
  <si>
    <t xml:space="preserve">Guia de uso</t>
  </si>
  <si>
    <t xml:space="preserve">Reconstrução acadêmica da auditoria — matrícula 202062044</t>
  </si>
  <si>
    <t xml:space="preserve">Dados públicos e simulação sintética | sem opinião independente</t>
  </si>
  <si>
    <t xml:space="preserve">Campo</t>
  </si>
  <si>
    <t xml:space="preserve">Descrição</t>
  </si>
  <si>
    <t xml:space="preserve">Identificação</t>
  </si>
  <si>
    <t xml:space="preserve">Matrícula 202062044.</t>
  </si>
  <si>
    <t xml:space="preserve">Período</t>
  </si>
  <si>
    <t xml:space="preserve">Exercício encerrado em 31/12/2025; relatório publicado em 26/02/2026.</t>
  </si>
  <si>
    <t xml:space="preserve">Unidade</t>
  </si>
  <si>
    <t xml:space="preserve">BRL mil, salvo indicação em contrário.</t>
  </si>
  <si>
    <t xml:space="preserve">Escopo</t>
  </si>
  <si>
    <t xml:space="preserve">Base e exceções são sintéticas; apenas saldos agregados da Nota 11 foram calibrados.</t>
  </si>
  <si>
    <t xml:space="preserve">Planilha</t>
  </si>
  <si>
    <t xml:space="preserve">Contém saldos, materialidade, riscos, análises, programas, amostras, exceções e cobertura de normas.</t>
  </si>
  <si>
    <t xml:space="preserve">Limite</t>
  </si>
  <si>
    <t xml:space="preserve">Os testes computacionais usam dados sintéticos; não conclua sobre os registros reais da MDIA3.</t>
  </si>
  <si>
    <t xml:space="preserve">Reprodução</t>
  </si>
  <si>
    <t xml:space="preserve">Instale requirements.txt e execute os comandos de reprodução descritos no README.</t>
  </si>
  <si>
    <t xml:space="preserve">README</t>
  </si>
  <si>
    <t xml:space="preserve">Reúne matrícula, organização do repositório e comandos de reprodução.</t>
  </si>
  <si>
    <t xml:space="preserve">IA</t>
  </si>
  <si>
    <t xml:space="preserve">Inteligência artificial foi utilizada como apoio à elaboração, com revisão e validação integradas ao trabalho acadêmico.</t>
  </si>
  <si>
    <t xml:space="preserve">Materialidade</t>
  </si>
  <si>
    <t xml:space="preserve">Premissas acadêmicas ilustrativas e análise de sensibilidade</t>
  </si>
  <si>
    <t xml:space="preserve">BRL mil; as porcentagens são julgamentos didáticos, não percentuais mandatórios da NBC TA 320</t>
  </si>
  <si>
    <t xml:space="preserve">Resultado antes de IR/CSLL</t>
  </si>
  <si>
    <t xml:space="preserve">Receita líquida</t>
  </si>
  <si>
    <t xml:space="preserve">Ativo total</t>
  </si>
  <si>
    <t xml:space="preserve">Benchmark escolhido</t>
  </si>
  <si>
    <t xml:space="preserve">Materialidade execução (% global)</t>
  </si>
  <si>
    <t xml:space="preserve">Limite trivial (% global)</t>
  </si>
  <si>
    <t xml:space="preserve">Materialidade global</t>
  </si>
  <si>
    <t xml:space="preserve">Materialidade para execução</t>
  </si>
  <si>
    <t xml:space="preserve">Limite trivial</t>
  </si>
  <si>
    <t xml:space="preserve">Benchmark alternativo: 0,5% receita</t>
  </si>
  <si>
    <t xml:space="preserve">Benchmark alternativo: 1% ativo</t>
  </si>
  <si>
    <t xml:space="preserve">Global / receita</t>
  </si>
  <si>
    <t xml:space="preserve">Global / ativo</t>
  </si>
  <si>
    <t xml:space="preserve">Interpretação</t>
  </si>
  <si>
    <t xml:space="preserve">Materialidade não é uma conta do ativo nem um corte automático por conta. O PBT foi escolhido provisoriamente por ser medida de desempenho potencialmente relevante para entidade lucrativa, mas caiu 14,0% e inclui BRL 463.419 mil de subvenção estadual. Benchmarks alternativos e a exclusão mecânica dessa linha são sensibilidades, não ajuste contábil nem escolha automática do benchmark correto.</t>
  </si>
  <si>
    <t xml:space="preserve">Subvenção estadual na DRE (2025)</t>
  </si>
  <si>
    <t xml:space="preserve">PBT sem essa linha — sensibilidade</t>
  </si>
  <si>
    <t xml:space="preserve">Global a 5% do PBT sensível</t>
  </si>
  <si>
    <t xml:space="preserve">Execução a 50%</t>
  </si>
  <si>
    <t xml:space="preserve">Trivial a 5% da global</t>
  </si>
  <si>
    <t xml:space="preserve">Benchmark alternativo: receita</t>
  </si>
  <si>
    <t xml:space="preserve">Benchmark alternativo: ativo</t>
  </si>
  <si>
    <t xml:space="preserve">Percentual alternativo sobre receita</t>
  </si>
  <si>
    <t xml:space="preserve">Percentual alternativo sobre ativo</t>
  </si>
  <si>
    <t xml:space="preserve">Execução alternativa: 0,5% receita</t>
  </si>
  <si>
    <t xml:space="preserve">Trivial alternativo: 0,5% receita</t>
  </si>
  <si>
    <t xml:space="preserve">Execução alternativa: 1% ativo</t>
  </si>
  <si>
    <t xml:space="preserve">Trivial alternativo: 1% ativo</t>
  </si>
  <si>
    <t xml:space="preserve">Saldos</t>
  </si>
  <si>
    <t xml:space="preserve">Principais saldos publicados e composição do imobilizado</t>
  </si>
  <si>
    <t xml:space="preserve">BRL mil; saldos consolidados</t>
  </si>
  <si>
    <t xml:space="preserve">Rubrica</t>
  </si>
  <si>
    <t xml:space="preserve">2025</t>
  </si>
  <si>
    <t xml:space="preserve">2024</t>
  </si>
  <si>
    <t xml:space="preserve">Referência</t>
  </si>
  <si>
    <t xml:space="preserve">Balanço consolidado</t>
  </si>
  <si>
    <t xml:space="preserve">Imobilizado</t>
  </si>
  <si>
    <t xml:space="preserve">Balanço consolidado/Nota 11</t>
  </si>
  <si>
    <t xml:space="preserve">Intangível</t>
  </si>
  <si>
    <t xml:space="preserve">Balanço consolidado/Nota 12</t>
  </si>
  <si>
    <t xml:space="preserve">Caixa e equivalentes</t>
  </si>
  <si>
    <t xml:space="preserve">Balanço consolidado/Nota 5</t>
  </si>
  <si>
    <t xml:space="preserve">Clientes — total comparável</t>
  </si>
  <si>
    <t xml:space="preserve">Balanço consolidado/Nota 6; 2024 inclui circulante + não circulante</t>
  </si>
  <si>
    <t xml:space="preserve">Estoques</t>
  </si>
  <si>
    <t xml:space="preserve">Balanço consolidado/Nota 7</t>
  </si>
  <si>
    <t xml:space="preserve">Passivo circulante</t>
  </si>
  <si>
    <t xml:space="preserve">Nota 27</t>
  </si>
  <si>
    <t xml:space="preserve">Resultado antes IR/CSLL</t>
  </si>
  <si>
    <t xml:space="preserve">Demonstração do resultado/fluxo de caixa</t>
  </si>
  <si>
    <t xml:space="preserve">Custo bruto imobilizado</t>
  </si>
  <si>
    <t xml:space="preserve">Nota 11</t>
  </si>
  <si>
    <t xml:space="preserve">Depreciação acumulada</t>
  </si>
  <si>
    <t xml:space="preserve">Classe</t>
  </si>
  <si>
    <t xml:space="preserve">Registros sintéticos</t>
  </si>
  <si>
    <t xml:space="preserve">Custo bruto</t>
  </si>
  <si>
    <t xml:space="preserve">Saldo líquido</t>
  </si>
  <si>
    <t xml:space="preserve">Edificações</t>
  </si>
  <si>
    <t xml:space="preserve">Máquinas e equipamentos</t>
  </si>
  <si>
    <t xml:space="preserve">Móveis e utensílios</t>
  </si>
  <si>
    <t xml:space="preserve">Veículos</t>
  </si>
  <si>
    <t xml:space="preserve">Instalações</t>
  </si>
  <si>
    <t xml:space="preserve">Imobilizações em andamento</t>
  </si>
  <si>
    <t xml:space="preserve">Outros</t>
  </si>
  <si>
    <t xml:space="preserve">Total</t>
  </si>
  <si>
    <t xml:space="preserve">Seleção da conta para a base</t>
  </si>
  <si>
    <t xml:space="preserve">Comparação de magnitude e fatores de risco dos principais saldos de ativo</t>
  </si>
  <si>
    <t xml:space="preserve">Saldos consolidados 2025; magnitude não é sinônimo de materialidade normativa</t>
  </si>
  <si>
    <t xml:space="preserve">Conta</t>
  </si>
  <si>
    <t xml:space="preserve">Saldo 2025 (BRL mil)</t>
  </si>
  <si>
    <t xml:space="preserve">% do ativo</t>
  </si>
  <si>
    <t xml:space="preserve">Fatores de risco</t>
  </si>
  <si>
    <t xml:space="preserve">Conclusão acadêmica</t>
  </si>
  <si>
    <t xml:space="preserve">Maior linha individual de ativo; existência, direitos, baixas, depreciação, projetos em andamento e impairment.</t>
  </si>
  <si>
    <t xml:space="preserve">Selecionada para a base obrigatória pela maior magnitude individual entre as principais rubricas e pelos riscos inerentes.</t>
  </si>
  <si>
    <t xml:space="preserve">Estimativa/impairment de goodwill e marcas; alto julgamento, apesar de saldo inferior ao imobilizado.</t>
  </si>
  <si>
    <t xml:space="preserve">Risco de estimativa elevado; não é a maior linha individual por saldo.</t>
  </si>
  <si>
    <t xml:space="preserve">Existência, restrição, direitos e confirmação bancária.</t>
  </si>
  <si>
    <t xml:space="preserve">Saldo relevante; testes dependem de confirmações e extratos.</t>
  </si>
  <si>
    <t xml:space="preserve">Clientes</t>
  </si>
  <si>
    <t xml:space="preserve">Existência, direitos, aging e perda esperada.</t>
  </si>
  <si>
    <t xml:space="preserve">Saldo relevante; expectativa analítica requer investigação.</t>
  </si>
  <si>
    <t xml:space="preserve">Existência física, custo, obsolescência e valor realizável líquido.</t>
  </si>
  <si>
    <t xml:space="preserve">Saldo relevante; exige observação física e testes de custo.</t>
  </si>
  <si>
    <t xml:space="preserve">Conclusão</t>
  </si>
  <si>
    <t xml:space="preserve">A NBC TA 320 não determina uma rubrica “mais material” apenas pelo saldo. Para cumprir a exigência de base, o imobilizado é a escolha mais defensável entre as principais linhas individuais: é a maior por valor (BRL 3.570.990 mil; 28,43% do ativo) e possui riscos inerentes relevantes. A avaliação de risco também destaca intangível e receita, e a hierarquia pode mudar com informação interna ou necessidades específicas de usuários.</t>
  </si>
  <si>
    <t xml:space="preserve">Matriz de riscos</t>
  </si>
  <si>
    <t xml:space="preserve">Riscos inerentes, afirmações e resposta planejada</t>
  </si>
  <si>
    <t xml:space="preserve">Planejamento; não equivale a procedimento executado em dados reais</t>
  </si>
  <si>
    <t xml:space="preserve">Área</t>
  </si>
  <si>
    <t xml:space="preserve">Risco</t>
  </si>
  <si>
    <t xml:space="preserve">Afirmações</t>
  </si>
  <si>
    <t xml:space="preserve">Fator</t>
  </si>
  <si>
    <t xml:space="preserve">Resposta planejada</t>
  </si>
  <si>
    <t xml:space="preserve">Limitação</t>
  </si>
  <si>
    <t xml:space="preserve">Receita líquida 10.437.548</t>
  </si>
  <si>
    <t xml:space="preserve">Alto</t>
  </si>
  <si>
    <t xml:space="preserve">Ocorrência, exatidão, corte, apresentação</t>
  </si>
  <si>
    <t xml:space="preserve">Fraude presumida no reconhecimento; venda faturada sem transferência de controle</t>
  </si>
  <si>
    <t xml:space="preserve">Testar entregas de dezembro/janeiro, devoluções, contratos, lançamentos e razão</t>
  </si>
  <si>
    <t xml:space="preserve">Base de vendas/entrega e razão indisponíveis</t>
  </si>
  <si>
    <t xml:space="preserve">Imobilizado 3.570.990</t>
  </si>
  <si>
    <t xml:space="preserve">Existência, direitos, integridade, valoração, corte, classificação</t>
  </si>
  <si>
    <t xml:space="preserve">Adições/baixas, vida útil/depreciação, projetos em andamento, impairment</t>
  </si>
  <si>
    <t xml:space="preserve">Auxiliar ao razão, títulos, inspeção, recálculo, baixas, capex em andamento</t>
  </si>
  <si>
    <t xml:space="preserve">Só saldos públicos e população sintética</t>
  </si>
  <si>
    <t xml:space="preserve">Intangível 2.416.590</t>
  </si>
  <si>
    <t xml:space="preserve">Existência, direitos, valoração, classificação, divulgação</t>
  </si>
  <si>
    <t xml:space="preserve">Goodwill/marcas sem amortização e fluxo descontado</t>
  </si>
  <si>
    <t xml:space="preserve">Testar CGUs, budgets, forecasts, taxa 13,04%, crescimento terminal 3,9%, sensibilidade</t>
  </si>
  <si>
    <t xml:space="preserve">Modelo detalhado ausente</t>
  </si>
  <si>
    <t xml:space="preserve">Clientes 1.843.604; ECL 60.051</t>
  </si>
  <si>
    <t xml:space="preserve">Alto/moderado</t>
  </si>
  <si>
    <t xml:space="preserve">Existência, direitos, valoração</t>
  </si>
  <si>
    <t xml:space="preserve">Aging, exposição vencida, premissas ECL</t>
  </si>
  <si>
    <t xml:space="preserve">Confirmações, recebimentos subsequentes, recalcular aging e modelo</t>
  </si>
  <si>
    <t xml:space="preserve">Auxiliar e confirmações ausentes</t>
  </si>
  <si>
    <t xml:space="preserve">Estoques 1.675.464; perda 31.481</t>
  </si>
  <si>
    <t xml:space="preserve">Existência, integridade, valoração, corte</t>
  </si>
  <si>
    <t xml:space="preserve">Contagem, custo médio, obsolescência/VRL</t>
  </si>
  <si>
    <t xml:space="preserve">Contagem observada, teste de custos, venda subsequente</t>
  </si>
  <si>
    <t xml:space="preserve">Sem contagem e fichas de custo</t>
  </si>
  <si>
    <t xml:space="preserve">Provisões 200.718; contingências possíveis 2.307.733</t>
  </si>
  <si>
    <t xml:space="preserve">Alto qualitativo</t>
  </si>
  <si>
    <t xml:space="preserve">Integridade, mensuração, apresentação</t>
  </si>
  <si>
    <t xml:space="preserve">Completude e classificação probabilidade</t>
  </si>
  <si>
    <t xml:space="preserve">Carta jurídica, autos, atualização e cálculo</t>
  </si>
  <si>
    <t xml:space="preserve">Sem carta/autos; contingência possível não é passivo reconhecido</t>
  </si>
  <si>
    <t xml:space="preserve">Caixa 1.888.270; derivativos</t>
  </si>
  <si>
    <t xml:space="preserve">Moderado/alto</t>
  </si>
  <si>
    <t xml:space="preserve">Existência, direitos, valor justo, classificação</t>
  </si>
  <si>
    <t xml:space="preserve">Restrição, contraparte, hedge</t>
  </si>
  <si>
    <t xml:space="preserve">Confirmações, extratos, recálculo e documentação hedge</t>
  </si>
  <si>
    <t xml:space="preserve">Sem confirmações</t>
  </si>
  <si>
    <t xml:space="preserve">Dívida 1.419.965; arrendamentos 322.005</t>
  </si>
  <si>
    <t xml:space="preserve">Moderado</t>
  </si>
  <si>
    <t xml:space="preserve">Integridade, obrigação, valoração, classificação</t>
  </si>
  <si>
    <t xml:space="preserve">Vencimentos, covenant, taxa, juros</t>
  </si>
  <si>
    <t xml:space="preserve">Confirmações, contratos, recálculo, busca de passivo</t>
  </si>
  <si>
    <t xml:space="preserve">Sem contratos completos</t>
  </si>
  <si>
    <t xml:space="preserve">Amostragem</t>
  </si>
  <si>
    <t xml:space="preserve">Desenho didático sobre a população sintética</t>
  </si>
  <si>
    <t xml:space="preserve">Sem extrapolação para MDIA3; AAS de atributo não é amostra monetária</t>
  </si>
  <si>
    <t xml:space="preserve">Parâmetro</t>
  </si>
  <si>
    <t xml:space="preserve">Valor</t>
  </si>
  <si>
    <t xml:space="preserve">Comentário</t>
  </si>
  <si>
    <t xml:space="preserve">População</t>
  </si>
  <si>
    <t xml:space="preserve">Itens sintéticos com IDs únicos; não são cadastro da companhia</t>
  </si>
  <si>
    <t xml:space="preserve">1 linha = 1 item fictício</t>
  </si>
  <si>
    <t xml:space="preserve">Não equivale a unidade real de cadastro</t>
  </si>
  <si>
    <t xml:space="preserve">AAS descritiva</t>
  </si>
  <si>
    <t xml:space="preserve">Sem reposição; seed 5302025; objetivo: presença de ID, classe e 3 campos monetários; 0/384 ausentes</t>
  </si>
  <si>
    <t xml:space="preserve">Seleção dirigida</t>
  </si>
  <si>
    <t xml:space="preserve">25 maiores saldos + censo das flags</t>
  </si>
  <si>
    <t xml:space="preserve">Não probabilística; não projetável</t>
  </si>
  <si>
    <t xml:space="preserve">Amostra combinada</t>
  </si>
  <si>
    <t xml:space="preserve">AAS mais seleções dirigidas, IDs deduplicados</t>
  </si>
  <si>
    <t xml:space="preserve">MUS sistemática</t>
  </si>
  <si>
    <t xml:space="preserve">606 unidades monetárias; 603 IDs únicos</t>
  </si>
  <si>
    <t xml:space="preserve">Distorção tolerável proxy = PM BRL 17.706,75 mil; fator 3,0; erro esperado zero</t>
  </si>
  <si>
    <t xml:space="preserve">Intervalo MUS</t>
  </si>
  <si>
    <t xml:space="preserve">Início aleatório reproduzível; consultar amostra_monetaria_MUS.csv</t>
  </si>
  <si>
    <t xml:space="preserve">Projeção pontual MUS</t>
  </si>
  <si>
    <t xml:space="preserve">BRL 41.785,446 mil</t>
  </si>
  <si>
    <t xml:space="preserve">BRL 30.000 mil em três itens de certeza + dois itens × intervalo; estimativa pontual didática, não limite superior nem projeção para MDIA3.</t>
  </si>
  <si>
    <t xml:space="preserve">Detalhe da projeção</t>
  </si>
  <si>
    <t xml:space="preserve">pt530_detalhe_projecao_mus.csv</t>
  </si>
  <si>
    <t xml:space="preserve">Cinco baixas sintéticas selecionadas; pontos MUS, saldo, certeza, tainting e parcela projetada.</t>
  </si>
  <si>
    <t xml:space="preserve">Flags do cenário</t>
  </si>
  <si>
    <t xml:space="preserve">37 exceções</t>
  </si>
  <si>
    <t xml:space="preserve">5 baixas; 12 projetos; 12 etiquetas; 8 não localizados</t>
  </si>
  <si>
    <t xml:space="preserve">Desenho didático em base sintética</t>
  </si>
  <si>
    <t xml:space="preserve">Projeção e atributos não sustentam opinião; recalcular com população real em auditoria</t>
  </si>
  <si>
    <t xml:space="preserve">Distorções e exceções</t>
  </si>
  <si>
    <t xml:space="preserve">Separar cenário simulado de achados reais</t>
  </si>
  <si>
    <t xml:space="preserve">Nenhum item desta planilha é ocorrência real da companhia</t>
  </si>
  <si>
    <t xml:space="preserve">Qtd</t>
  </si>
  <si>
    <t xml:space="preserve">Exposição potencial (BRL mil)</t>
  </si>
  <si>
    <t xml:space="preserve">Comparação</t>
  </si>
  <si>
    <t xml:space="preserve">Conclusão/limite</t>
  </si>
  <si>
    <t xml:space="preserve">Baixas não registradas</t>
  </si>
  <si>
    <t xml:space="preserve">1,10× global; 2,20× execução; 5,51% PBT</t>
  </si>
  <si>
    <t xml:space="preserve">Factual apenas no cenário; custo 48.500, depreciação 9.500, líquido 39.000. Correção suposta sem produto da alienação reduziria o resultado antes de tributos em 39.000.</t>
  </si>
  <si>
    <t xml:space="preserve">Itens em andamento possivelmente disponíveis</t>
  </si>
  <si>
    <t xml:space="preserve">Não quantificado</t>
  </si>
  <si>
    <t xml:space="preserve">Inconsistência sintética de dados; efeito de depreciação depende de data real, custo, vida útil e valor residual.</t>
  </si>
  <si>
    <t xml:space="preserve">Etiqueta ausente</t>
  </si>
  <si>
    <t xml:space="preserve">Controle/rastreabilidade; não é automaticamente distorção contábil.</t>
  </si>
  <si>
    <t xml:space="preserve">Não localizado simulado</t>
  </si>
  <si>
    <t xml:space="preserve">Equivale a BRL 3.848 correntes</t>
  </si>
  <si>
    <t xml:space="preserve">Resultado fabricado; não é inspeção real; sem evidência para ajuste.</t>
  </si>
  <si>
    <t xml:space="preserve">Distorções reais identificadas</t>
  </si>
  <si>
    <t xml:space="preserve">Não testadas</t>
  </si>
  <si>
    <t xml:space="preserve">Nenhuma distorção real pode ser declarada sem evidência dos registros da companhia.</t>
  </si>
  <si>
    <t xml:space="preserve">Procedimentos analíticos</t>
  </si>
  <si>
    <t xml:space="preserve">Expectativas, limiar de investigação e resultados reproduzíveis</t>
  </si>
  <si>
    <t xml:space="preserve">BRL mil; expectativas didáticas baseadas em dados públicos agregados</t>
  </si>
  <si>
    <t xml:space="preserve">Analítico</t>
  </si>
  <si>
    <t xml:space="preserve">Saldo 2025</t>
  </si>
  <si>
    <t xml:space="preserve">Base/expectativa 2024</t>
  </si>
  <si>
    <t xml:space="preserve">Diferença/variação</t>
  </si>
  <si>
    <t xml:space="preserve">Limiar de triagem</t>
  </si>
  <si>
    <t xml:space="preserve">Investigação/resposta</t>
  </si>
  <si>
    <t xml:space="preserve">Clientes: expectativa proporcional à receita</t>
  </si>
  <si>
    <t xml:space="preserve">2024 total comparável BRL 1.670.045; expectativa 2025 BRL 1.803.940,402; diferença BRL 39.663,598 (~2,24x PM). Investigar mix, prazo, aging, moeda, concentração, recebimentos e ECL; não é erro identificado.</t>
  </si>
  <si>
    <t xml:space="preserve">Receita líquida: variação anual</t>
  </si>
  <si>
    <t xml:space="preserve">Aumento percentual: decompor por mês/produto/preço/volume e testar corte; diferença percentual não é erro monetário.</t>
  </si>
  <si>
    <t xml:space="preserve">Resultado antes de IR/CSLL: variação anual</t>
  </si>
  <si>
    <t xml:space="preserve">Queda de resultado superior à mudança de receita; testar margem, financeiro, subvenções e itens não recorrentes.</t>
  </si>
  <si>
    <t xml:space="preserve">Imobilizado líquido: variação anual</t>
  </si>
  <si>
    <t xml:space="preserve">Conciliar adições, depreciação, baixas, transferências, impairment e direitos de uso.</t>
  </si>
  <si>
    <t xml:space="preserve">Programas de auditoria</t>
  </si>
  <si>
    <t xml:space="preserve">Procedimentos por afirmação, natureza, época e extensão</t>
  </si>
  <si>
    <t xml:space="preserve">Planejados para cenário de auditoria; execução real não ocorreu</t>
  </si>
  <si>
    <t xml:space="preserve">PT/área</t>
  </si>
  <si>
    <t xml:space="preserve">Risco/afirmação</t>
  </si>
  <si>
    <t xml:space="preserve">Procedimento</t>
  </si>
  <si>
    <t xml:space="preserve">Natureza</t>
  </si>
  <si>
    <t xml:space="preserve">Época</t>
  </si>
  <si>
    <t xml:space="preserve">Extensão/amostra</t>
  </si>
  <si>
    <t xml:space="preserve">Execução/limite</t>
  </si>
  <si>
    <t xml:space="preserve">PT240/330</t>
  </si>
  <si>
    <t xml:space="preserve">Receita: ocorrência, exatidão, corte; fraude presumida</t>
  </si>
  <si>
    <t xml:space="preserve">Teste substantivo de notas, pedidos, prova de entrega/aceite, devoluções subsequentes e lançamentos manuais; conciliar faturamento ao razão.</t>
  </si>
  <si>
    <t xml:space="preserve">Detalhe + analítico</t>
  </si>
  <si>
    <t xml:space="preserve">Dezembro 2025 e janeiro/fevereiro 2026; incluir seleção antes/depois do corte.</t>
  </si>
  <si>
    <t xml:space="preserve">Estratificar por mês/produto e risco; tamanho após tolerância e risco definidos.</t>
  </si>
  <si>
    <t xml:space="preserve">Não executado: não há base de vendas nem documentos.</t>
  </si>
  <si>
    <t xml:space="preserve">PT315/330</t>
  </si>
  <si>
    <t xml:space="preserve">SAP S/4HANA e dados de reporte: integridade, exatidão, acesso</t>
  </si>
  <si>
    <t xml:space="preserve">Entender migração Simplifique concluída em 2024, integração declarada de 47 sistemas; testar controles gerais de TI, interfaces, acessos e lançamentos manuais.</t>
  </si>
  <si>
    <t xml:space="preserve">Walkthrough + testes de controles + substantivo</t>
  </si>
  <si>
    <t xml:space="preserve">Migração 2024 e operação 2025; controles ao longo do exercício.</t>
  </si>
  <si>
    <t xml:space="preserve">Selecionar interfaces críticas, usuários privilegiados, mudanças e journals por risco.</t>
  </si>
  <si>
    <t xml:space="preserve">Risco identificado em divulgação; sem acesso a SAP, logs ou ITGC.</t>
  </si>
  <si>
    <t xml:space="preserve">PT530</t>
  </si>
  <si>
    <t xml:space="preserve">Imobilizado: existência, valor e baixas</t>
  </si>
  <si>
    <t xml:space="preserve">Seleção MUS sistemática da população sintética; inspeção bidirecional apenas se ativos/evidências reais forem disponibilizados.</t>
  </si>
  <si>
    <t xml:space="preserve">Amostragem monetária + detalhe</t>
  </si>
  <si>
    <t xml:space="preserve">Data-base 31/12/2025; altas e baixas no exercício.</t>
  </si>
  <si>
    <t xml:space="preserve">606 unidades monetárias; início aleatório e intervalo no script/CSV; PM usada como proxy de distorção tolerável.</t>
  </si>
  <si>
    <t xml:space="preserve">Executado somente no conjunto sintético; sem inferência para a MDIA3.</t>
  </si>
  <si>
    <t xml:space="preserve">PT330</t>
  </si>
  <si>
    <t xml:space="preserve">Imobilizado: direitos, mensuração e depreciação</t>
  </si>
  <si>
    <t xml:space="preserve">Vouching de adições a nota/contrato; recálculo de depreciação; exame de baixas, alienações e transferência de projetos.</t>
  </si>
  <si>
    <t xml:space="preserve">Detalhe</t>
  </si>
  <si>
    <t xml:space="preserve">Amostra de adições/baixas de 2025 e itens de maior valor.</t>
  </si>
  <si>
    <t xml:space="preserve">Itens selecionados pelo MUS e itens de alto risco; cobertura orientada por afirmação.</t>
  </si>
  <si>
    <t xml:space="preserve">Não executado em registros da empresa; classe de direito de uso não separada na base sintética.</t>
  </si>
  <si>
    <t xml:space="preserve">PT501</t>
  </si>
  <si>
    <t xml:space="preserve">Estoques: existência e valor realizável líquido</t>
  </si>
  <si>
    <t xml:space="preserve">Acompanhar inventário físico; testar contagens, custo médio, obsolescência e venda subsequente.</t>
  </si>
  <si>
    <t xml:space="preserve">Observação + detalhe</t>
  </si>
  <si>
    <t xml:space="preserve">Data do inventário e testes de corte no encerramento.</t>
  </si>
  <si>
    <t xml:space="preserve">Locais/materialidade por local; itens de alto valor e itens selecionados.</t>
  </si>
  <si>
    <t xml:space="preserve">Sem contagem, fichas de custo ou vendas posteriores granulares.</t>
  </si>
  <si>
    <t xml:space="preserve">PT505/330</t>
  </si>
  <si>
    <t xml:space="preserve">Disponibilidades: existência, direitos, restrições e classificação</t>
  </si>
  <si>
    <t xml:space="preserve">Confirmar bancos sob controle do auditor; reconciliar extratos, aplicações, restrições e corte.</t>
  </si>
  <si>
    <t xml:space="preserve">Confirmação externa + detalhe</t>
  </si>
  <si>
    <t xml:space="preserve">Próximo a 31/12/2025 e conciliações posteriores.</t>
  </si>
  <si>
    <t xml:space="preserve">População bancária real e todas as contas relevantes; valores/contatos ainda não disponíveis.</t>
  </si>
  <si>
    <t xml:space="preserve">Somente modelo de confirmação; sem população, envio, resposta ou teste.</t>
  </si>
  <si>
    <t xml:space="preserve">Passivos financeiros: completude, obrigação, mensuração e covenant</t>
  </si>
  <si>
    <t xml:space="preserve">Confirmar financiadores; inspecionar contratos, juros, vencimentos, garantias e covenants; recalcular saldos.</t>
  </si>
  <si>
    <t xml:space="preserve">Data-base e pagamentos posteriores.</t>
  </si>
  <si>
    <t xml:space="preserve">Todos os financiadores relevantes e contratos; seleção após obter razão/contratos.</t>
  </si>
  <si>
    <t xml:space="preserve">Sem confirmação, contratos completos ou razão.</t>
  </si>
  <si>
    <t xml:space="preserve">PT330/550</t>
  </si>
  <si>
    <t xml:space="preserve">Derivativos: existência, direitos, valor justo e divulgação</t>
  </si>
  <si>
    <t xml:space="preserve">Confirmar termos com contrapartes; recalcular valor justo e avaliar designação/efetividade de hedge.</t>
  </si>
  <si>
    <t xml:space="preserve">Confirmação externa + recálculo</t>
  </si>
  <si>
    <t xml:space="preserve">Posições em 31/12/2025 e transações subsequentes.</t>
  </si>
  <si>
    <t xml:space="preserve">Censo das posições relevantes; suporte/contratos ausentes.</t>
  </si>
  <si>
    <t xml:space="preserve">Somente divulgações agregadas; sem confirmação ou recálculo independente.</t>
  </si>
  <si>
    <t xml:space="preserve">PT250/501</t>
  </si>
  <si>
    <t xml:space="preserve">Provisões/contingências: completude e mensuração</t>
  </si>
  <si>
    <t xml:space="preserve">Solicitar carta jurídica, processos, cálculo de provisões e avaliação de probabilidade; verificar CPC 25 e divulgação.</t>
  </si>
  <si>
    <t xml:space="preserve">Confirmação jurídica + inspeção</t>
  </si>
  <si>
    <t xml:space="preserve">Até a data do relatório.</t>
  </si>
  <si>
    <t xml:space="preserve">Censo de processos materiais; população jurídica não disponível.</t>
  </si>
  <si>
    <t xml:space="preserve">Sem carta, autos, assessoria jurídica ou razão auxiliar.</t>
  </si>
  <si>
    <t xml:space="preserve">PT505</t>
  </si>
  <si>
    <t xml:space="preserve">Clientes: existência/direitos e perda esperada</t>
  </si>
  <si>
    <t xml:space="preserve">Confirmação positiva de saldos, recebimentos subsequentes, aging e recálculo da ECL.</t>
  </si>
  <si>
    <t xml:space="preserve">Confirmações próximas a 31/12/2025; alternativas após não respostas.</t>
  </si>
  <si>
    <t xml:space="preserve">Estratificar por saldo, atraso, disputa e risco; amostra definida após população real.</t>
  </si>
  <si>
    <t xml:space="preserve">Minuta apenas; nenhuma confirmação foi enviada.</t>
  </si>
  <si>
    <t xml:space="preserve">PT540</t>
  </si>
  <si>
    <t xml:space="preserve">Goodwill e marcas: valoração</t>
  </si>
  <si>
    <t xml:space="preserve">Testar CGUs, modelo DCF, dados, projeções, taxa de desconto, crescimento terminal, sensitividade e viés.</t>
  </si>
  <si>
    <t xml:space="preserve">Teste de estimativa + analítico</t>
  </si>
  <si>
    <t xml:space="preserve">Teste anual e orçamento aprovado para 2026–2030.</t>
  </si>
  <si>
    <t xml:space="preserve">Cobertura de todas as CGUs relevantes; cenário de taxa/growth não substitui reexecução do modelo.</t>
  </si>
  <si>
    <t xml:space="preserve">Somente sensibilidade relativa calculada; modelo/folga ausentes.</t>
  </si>
  <si>
    <t xml:space="preserve">PT550/560</t>
  </si>
  <si>
    <t xml:space="preserve">Partes relacionadas e eventos subsequentes: completude/apresentação</t>
  </si>
  <si>
    <t xml:space="preserve">Cruzar cadastro, atas, contratos, pagamentos, publicações e eventos até data do relatório; avaliar CPC 05/CPC 24.</t>
  </si>
  <si>
    <t xml:space="preserve">Indagação + inspeção + analítico</t>
  </si>
  <si>
    <t xml:space="preserve">Do encerramento a 26/02/2026.</t>
  </si>
  <si>
    <t xml:space="preserve">Censo de atas/eventos e seleção de transações/saldos materiais.</t>
  </si>
  <si>
    <t xml:space="preserve">Fontes públicas; não houve indagação, atas privadas ou razão.</t>
  </si>
  <si>
    <t xml:space="preserve">PT570</t>
  </si>
  <si>
    <t xml:space="preserve">Continuidade: apresentação/divulgação</t>
  </si>
  <si>
    <t xml:space="preserve">Testar fluxo de caixa projetado, covenants, vencimentos, linhas de crédito, capex e cenários de estresse.</t>
  </si>
  <si>
    <t xml:space="preserve">Analítico + detalhe</t>
  </si>
  <si>
    <t xml:space="preserve">Pelo menos 12 meses da data de autorização.</t>
  </si>
  <si>
    <t xml:space="preserve">Todos os financiamentos e covenants relevantes; cenários adversos de liquidez.</t>
  </si>
  <si>
    <t xml:space="preserve">Não executado; previsões e contratos completos ausentes.</t>
  </si>
  <si>
    <t xml:space="preserve">PT600</t>
  </si>
  <si>
    <t xml:space="preserve">Consolidação e componentes: integridade/valoração</t>
  </si>
  <si>
    <t xml:space="preserve">Validar perímetro, balancetes, eliminações, políticas, câmbio e trabalho de auditores de componentes; CPC 15/36.</t>
  </si>
  <si>
    <t xml:space="preserve">Consolidação + revisão de componentes</t>
  </si>
  <si>
    <t xml:space="preserve">Fechamento anual e saldos comparativos.</t>
  </si>
  <si>
    <t xml:space="preserve">Cobrir componentes significativos e riscos por componente; extensão após materialidade de grupo/componente.</t>
  </si>
  <si>
    <t xml:space="preserve">Mapeamento só documental; sem balancetes e papéis dos componentes.</t>
  </si>
  <si>
    <t xml:space="preserve">Normas</t>
  </si>
  <si>
    <t xml:space="preserve">Versões, vigência e status da evidência</t>
  </si>
  <si>
    <t xml:space="preserve">NBC TA 200–600: escopo principal; normas 700+ apenas como referência suplementar ao modelo</t>
  </si>
  <si>
    <t xml:space="preserve">PT</t>
  </si>
  <si>
    <t xml:space="preserve">Norma/versão</t>
  </si>
  <si>
    <t xml:space="preserve">Vigência/base</t>
  </si>
  <si>
    <t xml:space="preserve">Objeto/procedimento</t>
  </si>
  <si>
    <t xml:space="preserve">Status/limite</t>
  </si>
  <si>
    <t xml:space="preserve">EC</t>
  </si>
  <si>
    <t xml:space="preserve">NBC TA Estrutura Conceitual</t>
  </si>
  <si>
    <t xml:space="preserve">Não se aplica — Estrutura Conceitual</t>
  </si>
  <si>
    <t xml:space="preserve">Define objeto demonstrações públicas, critérios NBC TG/CPC, partes, evidência e nível</t>
  </si>
  <si>
    <t xml:space="preserve">Análise documental</t>
  </si>
  <si>
    <t xml:space="preserve">PT200</t>
  </si>
  <si>
    <t xml:space="preserve">NBC TA 200 (R1)</t>
  </si>
  <si>
    <t xml:space="preserve">Períodos iniciados em ou após 01/01/2010 — aplicável a 2025</t>
  </si>
  <si>
    <t xml:space="preserve">Ética, independência, ceticismo e limites</t>
  </si>
  <si>
    <t xml:space="preserve">Planejado/documentado, não é auditoria profissional</t>
  </si>
  <si>
    <t xml:space="preserve">PT210</t>
  </si>
  <si>
    <t xml:space="preserve">NBC TA 210 (R1)</t>
  </si>
  <si>
    <t xml:space="preserve">Objetivo, alcance, responsabilidades, acesso e precondições</t>
  </si>
  <si>
    <t xml:space="preserve">Minuta acadêmica não assinada/não enviada</t>
  </si>
  <si>
    <t xml:space="preserve">PT220</t>
  </si>
  <si>
    <t xml:space="preserve">NBC TA 220 (R3)</t>
  </si>
  <si>
    <t xml:space="preserve">Períodos iniciados em ou após 01/01/2023 — aplicável a 2025</t>
  </si>
  <si>
    <t xml:space="preserve">Direção, supervisão, revisão, recursos, consulta e independência; divulgação de serviços da KPMG e pré-aprovação pelo Comitê de Auditoria</t>
  </si>
  <si>
    <t xml:space="preserve">Análise documental; sem equipe/revisor independente ou avaliação própria de independência</t>
  </si>
  <si>
    <t xml:space="preserve">PT230</t>
  </si>
  <si>
    <t xml:space="preserve">NBC TA 230 (R1)</t>
  </si>
  <si>
    <t xml:space="preserve">Índice, referência cruzada e versão 2.0; sementes e trilha de reprodução em README/código.</t>
  </si>
  <si>
    <t xml:space="preserve">Arquivo acadêmico versionado para esta entrega; retenção profissional e histórico remoto dependem da ação manual no GitHub.</t>
  </si>
  <si>
    <t xml:space="preserve">PT240</t>
  </si>
  <si>
    <t xml:space="preserve">NBC TA 240 (R1)</t>
  </si>
  <si>
    <t xml:space="preserve">Reconhecimento de receitas, override, lançamentos e estimativas</t>
  </si>
  <si>
    <t xml:space="preserve">Riscos planejados; NBC TA 240 (R2) foi publicada em 2026 para períodos iniciados a partir de 01/01/2027; não aplicada a 2025.</t>
  </si>
  <si>
    <t xml:space="preserve">PT250</t>
  </si>
  <si>
    <t xml:space="preserve">NBC TA 250</t>
  </si>
  <si>
    <t xml:space="preserve">Períodos iniciados em ou após 31/12/2018 — aplicável a 2025</t>
  </si>
  <si>
    <t xml:space="preserve">Provisões, subvenções estaduais e obrigações legais; avaliar CPC 07 (R1) e CPC 25</t>
  </si>
  <si>
    <t xml:space="preserve">Planejado/documental; sem processos, parecer legal ou prova de cumprimento</t>
  </si>
  <si>
    <t xml:space="preserve">PT260</t>
  </si>
  <si>
    <t xml:space="preserve">NBC TA 260 (R2)</t>
  </si>
  <si>
    <t xml:space="preserve">Períodos findos em ou após 31/12/2016 — aplicável a 2025</t>
  </si>
  <si>
    <t xml:space="preserve">Plano de comunicação sobre estratégia, época, riscos, independência, limitações e achados; considerar divulgação pública de outros serviços.</t>
  </si>
  <si>
    <t xml:space="preserve">Minuta não enviada. Estatuto Social consta do inventário; a análise de governança limita-se às divulgações das DFs.</t>
  </si>
  <si>
    <t xml:space="preserve">PT265</t>
  </si>
  <si>
    <t xml:space="preserve">NBC TA 265</t>
  </si>
  <si>
    <t xml:space="preserve">Condição, critério, causa, efeito, recomendação e status de cada cenário</t>
  </si>
  <si>
    <t xml:space="preserve">Exceções plantadas na base</t>
  </si>
  <si>
    <t xml:space="preserve">PT300</t>
  </si>
  <si>
    <t xml:space="preserve">NBC TA 300 (R1)</t>
  </si>
  <si>
    <t xml:space="preserve">Estratégia, riscos, cronograma e programas detalhados por natureza, época e extensão na aba Programa</t>
  </si>
  <si>
    <t xml:space="preserve">Planejamento acadêmico; ciclos reais não foram executados</t>
  </si>
  <si>
    <t xml:space="preserve">PT315</t>
  </si>
  <si>
    <t xml:space="preserve">NBC TA 315 (R2)</t>
  </si>
  <si>
    <t xml:space="preserve">Períodos iniciados em ou após 01/01/2022 — aplicável a 2025</t>
  </si>
  <si>
    <t xml:space="preserve">Matriz por afirmação; inclui contexto SAP/Simplifique, mas a classificação de risco significativo é limitada à presunção de fraude no reconhecimento de receita; alta prioridade não significa automaticamente risco significativo.</t>
  </si>
  <si>
    <t xml:space="preserve">Análise documental; sem registros, walkthrough, avaliação de desenho/implementação/eficácia, logs, ITGC ou teste de TI.</t>
  </si>
  <si>
    <t xml:space="preserve">PT320</t>
  </si>
  <si>
    <t xml:space="preserve">NBC TA 320 (R1)</t>
  </si>
  <si>
    <t xml:space="preserve">Benchmark primário 5% do PBT reportado; global BRL 35.413,500 mil; execução 50%; trivial 5%. Sensibilidade excluindo mecanicamente BRL 463.419 mil de subvenção estadual e benchmarks de receita/ativo documentados.</t>
  </si>
  <si>
    <t xml:space="preserve">Julgamento acadêmico, não percentuais mandatórios; sem materialidades específicas quantitativas; sensibilidade não presume subvenção não recorrente.</t>
  </si>
  <si>
    <t xml:space="preserve">NBC TA 330 (R1)</t>
  </si>
  <si>
    <t xml:space="preserve">Procedimentos ligados às afirmações, com natureza, época, extensão e status de execução</t>
  </si>
  <si>
    <t xml:space="preserve">Executado somente sobre base sintética; procedimentos de ciclos reais apenas planejados</t>
  </si>
  <si>
    <t xml:space="preserve">PT402</t>
  </si>
  <si>
    <t xml:space="preserve">NBC TA 402</t>
  </si>
  <si>
    <t xml:space="preserve">Mapear prestadores, controles complementares e relatórios SOC tipo 1/2; roteiro de procedimento alternativo.</t>
  </si>
  <si>
    <t xml:space="preserve">Não avaliado; RAI/DFs não fornecem mapa completo de prestadores. RAI foi recebido, não é evidência de eficácia.</t>
  </si>
  <si>
    <t xml:space="preserve">PT450</t>
  </si>
  <si>
    <t xml:space="preserve">NBC TA 450 (R1)</t>
  </si>
  <si>
    <t xml:space="preserve">Mapa com condição, classificação, valor potencial, efeito de correção hipotético, comparação com limites e avaliação cumulativa</t>
  </si>
  <si>
    <t xml:space="preserve">Cenário sintético; nenhuma distorção real comunicada ou corrigida pela administração</t>
  </si>
  <si>
    <t xml:space="preserve">PT500</t>
  </si>
  <si>
    <t xml:space="preserve">NBC TA 500 (R1)</t>
  </si>
  <si>
    <t xml:space="preserve">Relevância, confiabilidade, suficiência e conciliação</t>
  </si>
  <si>
    <t xml:space="preserve">Aritmética sintética conciliada</t>
  </si>
  <si>
    <t xml:space="preserve">NBC TA 501</t>
  </si>
  <si>
    <t xml:space="preserve">Estoques, litígios e segmento</t>
  </si>
  <si>
    <t xml:space="preserve">Planejado/documental</t>
  </si>
  <si>
    <t xml:space="preserve">NBC TA 505</t>
  </si>
  <si>
    <t xml:space="preserve">Categorias de confirmação, controle de endereçamento/envio/resposta, exceções e alternativas; população/amostra a definir com dados reais.</t>
  </si>
  <si>
    <t xml:space="preserve">Nenhuma amostra real, contato, envio, resposta ou procedimento alternativo executado.</t>
  </si>
  <si>
    <t xml:space="preserve">PT510</t>
  </si>
  <si>
    <t xml:space="preserve">NBC TA 510 (R1)</t>
  </si>
  <si>
    <t xml:space="preserve">Saldos de abertura, políticas, comparativos e opinião anterior</t>
  </si>
  <si>
    <t xml:space="preserve">Análise limitada a publicação</t>
  </si>
  <si>
    <t xml:space="preserve">PT520</t>
  </si>
  <si>
    <t xml:space="preserve">NBC TA 520</t>
  </si>
  <si>
    <t xml:space="preserve">Expectativa proporcional de clientes usa saldo comparável total 2024 BRL 1.670.045 mil; expectativa 2025 BRL 1.803.940,402 mil; diferença BRL 39.663,598 mil; limiar de investigação e limitações documentados.</t>
  </si>
  <si>
    <t xml:space="preserve">Diferença é gatilho, não distorção; expectativa simplificada, sem dados mensais, aging ou recebimentos.</t>
  </si>
  <si>
    <t xml:space="preserve">NBC TA 530 (vigente para o período conforme compêndio)</t>
  </si>
  <si>
    <t xml:space="preserve">População 500.000; AAS descritiva n=384 testa campos-chave da base; MUS 606 unidades/603 IDs, intervalo BRL 5.892,723 mil; projeção pontual simplificada de flags de baixa BRL 41.785,446 mil; censo sintético de exceções.</t>
  </si>
  <si>
    <t xml:space="preserve">População inteira sintética. Projeção não é limite superior/intervalo de confiança nem projeção da companhia; PM e fator 3,0 são premissas didáticas.</t>
  </si>
  <si>
    <t xml:space="preserve">NBC TA 540 (R2)</t>
  </si>
  <si>
    <t xml:space="preserve">Períodos iniciados em ou após 01/01/2020 — aplicável a 2025</t>
  </si>
  <si>
    <t xml:space="preserve">Nota 12: saldo goodwill/marcas, método/premissas divulgados e sensibilidade relativa do fator de perpetuidade; CPC 01.</t>
  </si>
  <si>
    <t xml:space="preserve">Modelo DCF, fluxos, premissas detalhadas e headroom por UGC não disponíveis; teste de impairment não reexecutado.</t>
  </si>
  <si>
    <t xml:space="preserve">PT550</t>
  </si>
  <si>
    <t xml:space="preserve">NBC TA 550</t>
  </si>
  <si>
    <t xml:space="preserve">Vínculos, saldos, transações, completude e divulgações; CPC 05 (R1)</t>
  </si>
  <si>
    <t xml:space="preserve">Nota 14 mapeada; completude não testada sem cadastros/atas/razão</t>
  </si>
  <si>
    <t xml:space="preserve">PT560</t>
  </si>
  <si>
    <t xml:space="preserve">NBC TA 560 (R1)</t>
  </si>
  <si>
    <t xml:space="preserve">Corte 26/02/2026, eventos de ajuste/divulgação e pesquisa posterior; CPC 24</t>
  </si>
  <si>
    <t xml:space="preserve">Pesquisa documental com corte declarado em 26/02/2026; não exaustiva, sem leitura integral de atas/CVM nem indagação. Ausência de identificação no recorte não prova inexistência de evento.</t>
  </si>
  <si>
    <t xml:space="preserve">NBC TA 570</t>
  </si>
  <si>
    <t xml:space="preserve">Liquidez, vencimentos, covenants, fluxo de caixa e incertezas</t>
  </si>
  <si>
    <t xml:space="preserve">Indicadores públicos calculados; NBC TA 570 (R1) publicada em 2026 é aplicável a períodos iniciados a partir de 01/01/2027; não aplicada a 2025.</t>
  </si>
  <si>
    <t xml:space="preserve">PT580</t>
  </si>
  <si>
    <t xml:space="preserve">NBC TA 580 (R1)</t>
  </si>
  <si>
    <t xml:space="preserve">Responsabilidade, completude, estimativas, partes relacionadas, eventos e distorções</t>
  </si>
  <si>
    <t xml:space="preserve">Minuta não solicitada/assinada</t>
  </si>
  <si>
    <t xml:space="preserve">NBC TA 600 (R2)</t>
  </si>
  <si>
    <t xml:space="preserve">Auditorias de grupos para períodos iniciados em ou após 01/01/2024 — aplicável a 2025</t>
  </si>
  <si>
    <t xml:space="preserve">Perímetro divulgado e políticas consolidadas; identificar componentes, materialidade por componente, eliminações, câmbio e trabalho de auditores.</t>
  </si>
  <si>
    <t xml:space="preserve">Sem balancetes/papéis por componente; significância/materialidade de componentes não pôde ser quantificada; não se infere falha ou inexistência de auditor componente.</t>
  </si>
  <si>
    <t xml:space="preserve">R700</t>
  </si>
  <si>
    <t xml:space="preserve">NBC TA 700</t>
  </si>
  <si>
    <t xml:space="preserve">Referência suplementar ao modelo de relatório; fora do escopo principal 200–600</t>
  </si>
  <si>
    <t xml:space="preserve">Opinião e base para opinião</t>
  </si>
  <si>
    <t xml:space="preserve">Não emitido para entidade</t>
  </si>
  <si>
    <t xml:space="preserve">R701</t>
  </si>
  <si>
    <t xml:space="preserve">NBC TA 701</t>
  </si>
  <si>
    <t xml:space="preserve">PAA conforme âmbito aplicável</t>
  </si>
  <si>
    <t xml:space="preserve">PAA divulgado pela KPMG apenas como contexto; não se emite PAA próprio.</t>
  </si>
  <si>
    <t xml:space="preserve">R705</t>
  </si>
  <si>
    <t xml:space="preserve">NBC TA 705</t>
  </si>
  <si>
    <t xml:space="preserve">Opinião modificada quando distorção/limitação material, avaliação de pervasividade</t>
  </si>
  <si>
    <t xml:space="preserve">Matriz condicional de julgamento; não há opinião emitida nem distorção real comprovada.</t>
  </si>
  <si>
    <t xml:space="preserve">R706</t>
  </si>
  <si>
    <t xml:space="preserve">NBC TA 706</t>
  </si>
  <si>
    <t xml:space="preserve">Ênfase/outros assuntos quando critérios atendidos</t>
  </si>
  <si>
    <t xml:space="preserve">Sem parágrafo emitido</t>
  </si>
  <si>
    <t xml:space="preserve">S610</t>
  </si>
  <si>
    <t xml:space="preserve">NBC TA 610 — referência suplementar (uso do trabalho de auditoria interna)</t>
  </si>
  <si>
    <t xml:space="preserve">Conforme versão vigente no período; condicional à utilização do trabalho de auditoria interna.</t>
  </si>
  <si>
    <t xml:space="preserve">Avaliar objetividade, competência e abordagem sistemática da auditoria interna antes de usar seu trabalho.</t>
  </si>
  <si>
    <t xml:space="preserve">Não avaliado; não foram obtidos papéis ou comunicação da auditoria interna.</t>
  </si>
  <si>
    <t xml:space="preserve">S620</t>
  </si>
  <si>
    <t xml:space="preserve">NBC TA 620 — referência suplementar (especialista do auditor)</t>
  </si>
  <si>
    <t xml:space="preserve">Conforme versão vigente no período; condicional ao uso de especialista do auditor.</t>
  </si>
  <si>
    <t xml:space="preserve">Avaliar competência, capacidade, objetividade, escopo e adequação do trabalho do especialista.</t>
  </si>
  <si>
    <t xml:space="preserve">Nenhum especialista contratado/consultado nesta atividade.</t>
  </si>
  <si>
    <t xml:space="preserve">S710</t>
  </si>
  <si>
    <t xml:space="preserve">NBC TA 710 (R1) — comparativos, suplementar</t>
  </si>
  <si>
    <t xml:space="preserve">Aplicável a períodos findos a partir de 31/12/2016, conforme versão consultada.</t>
  </si>
  <si>
    <t xml:space="preserve">Avaliar consistência e apresentação dos comparativos e eventual modificação anterior.</t>
  </si>
  <si>
    <t xml:space="preserve">Análise documental; sem papéis do auditor anterior ou balancetes.</t>
  </si>
  <si>
    <t xml:space="preserve">S720</t>
  </si>
  <si>
    <t xml:space="preserve">NBC TA 720 — outras informações, suplementar</t>
  </si>
  <si>
    <t xml:space="preserve">Versão consultada no índice CFC; aplicação depende das outras informações e circunstâncias do relatório.</t>
  </si>
  <si>
    <t xml:space="preserve">Ler outras informações, avaliar inconsistência material com DFs/conhecimento do auditor e comunicar quando requerido.</t>
  </si>
  <si>
    <t xml:space="preserve">Sem procedimento de auditoria profissional; RAI catalogado, sem avaliação integral como outra informação.</t>
  </si>
  <si>
    <t xml:space="preserve">CPC 00</t>
  </si>
  <si>
    <t xml:space="preserve">CPC 00 (R2)</t>
  </si>
  <si>
    <t xml:space="preserve">Não se aplica — pronunciamento contábil, não NBC TA</t>
  </si>
  <si>
    <t xml:space="preserve">Relevância/materialidade e julgamento contextual</t>
  </si>
  <si>
    <t xml:space="preserve">Aplicado em análise</t>
  </si>
  <si>
    <t xml:space="preserve">CPC 16</t>
  </si>
  <si>
    <t xml:space="preserve">CPC 16 (R1), revisão 13</t>
  </si>
  <si>
    <t xml:space="preserve">Custo médio ponderado, VRL, existência e obsolescência</t>
  </si>
  <si>
    <t xml:space="preserve">Somente nota pública; sem contagem/teste</t>
  </si>
  <si>
    <t xml:space="preserve">CPC 25</t>
  </si>
  <si>
    <t xml:space="preserve">CPC 25, revisão 19</t>
  </si>
  <si>
    <t xml:space="preserve">Critério de provisão, probabilidade, mensuração e divulgação</t>
  </si>
  <si>
    <t xml:space="preserve">Somente notas; sem carta jurídica</t>
  </si>
  <si>
    <t xml:space="preserve">CPC 27</t>
  </si>
  <si>
    <t xml:space="preserve">CPC 27, revisão 22</t>
  </si>
  <si>
    <t xml:space="preserve">Reconhecimento, mensuração, baixa, depreciação e impairment; CPC 06 (R2) para direitos de uso.</t>
  </si>
  <si>
    <t xml:space="preserve">Base v2 não contém taxa/vida útil por item e não calcula depreciação a partir de datas; rateios são sintéticos. Direitos de uso e titularidade não separados.</t>
  </si>
  <si>
    <t xml:space="preserve">CPC 01</t>
  </si>
  <si>
    <t xml:space="preserve">CPC 01 (R1), revisão 21</t>
  </si>
  <si>
    <t xml:space="preserve">Valor recuperável e premissas</t>
  </si>
  <si>
    <t xml:space="preserve">Só premissas divulgadas</t>
  </si>
  <si>
    <t xml:space="preserve">CPC 04</t>
  </si>
  <si>
    <t xml:space="preserve">CPC 04 (R1), revisão 21</t>
  </si>
  <si>
    <t xml:space="preserve">Vida útil, goodwill e marcas</t>
  </si>
  <si>
    <t xml:space="preserve">Análise de nota</t>
  </si>
  <si>
    <t xml:space="preserve">CPC 47</t>
  </si>
  <si>
    <t xml:space="preserve">CPC 47, revisão 21</t>
  </si>
  <si>
    <t xml:space="preserve">Transferência de controle, corte, devoluções e descontos</t>
  </si>
  <si>
    <t xml:space="preserve">PAA publicado consultado; sem transações reais</t>
  </si>
  <si>
    <t xml:space="preserve">CPC 48</t>
  </si>
  <si>
    <t xml:space="preserve">CPC 48, revisão 19</t>
  </si>
  <si>
    <t xml:space="preserve">ECL, valor justo, classificação e hedge</t>
  </si>
  <si>
    <t xml:space="preserve">Notas públicas</t>
  </si>
  <si>
    <t xml:space="preserve">CPC 05</t>
  </si>
  <si>
    <t xml:space="preserve">CPC 05 (R1), revisão 06</t>
  </si>
  <si>
    <t xml:space="preserve">Vínculos, transações, saldos e divulgação; busca de partes não identificadas</t>
  </si>
  <si>
    <t xml:space="preserve">Análise documental; sem cadastro interno, atas ou razão</t>
  </si>
  <si>
    <t xml:space="preserve">CPC 06</t>
  </si>
  <si>
    <t xml:space="preserve">CPC 06 (R2), revisão 23</t>
  </si>
  <si>
    <t xml:space="preserve">Reconhecimento, mensuração, apresentação e divulgações de arrendamento</t>
  </si>
  <si>
    <t xml:space="preserve">Valores divulgados; base sintética não separa direito de uso de propriedade própria</t>
  </si>
  <si>
    <t xml:space="preserve">CPC 07</t>
  </si>
  <si>
    <t xml:space="preserve">CPC 07 (R1), revisão 12</t>
  </si>
  <si>
    <t xml:space="preserve">Reconhecimento, apresentação, condições e divulgação de subvenções; distinguir BRL 463.419 mil em resultado da linha de passivo BRL 8.706 mil.</t>
  </si>
  <si>
    <t xml:space="preserve">Sem contratos/suporte; materialidade apresenta apenas sensibilidade, sem afirmar natureza não recorrente.</t>
  </si>
  <si>
    <t xml:space="preserve">CPC 15</t>
  </si>
  <si>
    <t xml:space="preserve">CPC 15 (R1), revisão 22</t>
  </si>
  <si>
    <t xml:space="preserve">Combinação de negócios e goodwill quando aplicável; CPC 15 não é fundamento geral de saldo imobilizado.</t>
  </si>
  <si>
    <t xml:space="preserve">Análise documental; contratos/modelos de aquisição ausentes.</t>
  </si>
  <si>
    <t xml:space="preserve">CPC 24</t>
  </si>
  <si>
    <t xml:space="preserve">CPC 24, revisão 12</t>
  </si>
  <si>
    <t xml:space="preserve">Identificar eventos até autorização; distinguir ajuste de divulgação</t>
  </si>
  <si>
    <t xml:space="preserve">Pesquisa documental com limitações; sem indagação ou atas internas</t>
  </si>
  <si>
    <t xml:space="preserve">CPC 26</t>
  </si>
  <si>
    <t xml:space="preserve">CPC 26 (R1), revisão 23</t>
  </si>
  <si>
    <t xml:space="preserve">Apresentação, classificação, consistência e divulgações</t>
  </si>
  <si>
    <t xml:space="preserve">DFs públicas revisadas; sem teste sobre balancetes/consolidação</t>
  </si>
  <si>
    <t xml:space="preserve">CPC 36</t>
  </si>
  <si>
    <t xml:space="preserve">CPC 36 (R3), revisão 08</t>
  </si>
  <si>
    <t xml:space="preserve">Controle, consolidação, eliminações e apresentação do grupo</t>
  </si>
  <si>
    <t xml:space="preserve">Perímetro divulgado mapeado; sem balancetes e papéis de componentes</t>
  </si>
  <si>
    <t xml:space="preserve">CPC 03</t>
  </si>
  <si>
    <t xml:space="preserve">CPC 03 (R2) / NBC TG 03 (R3) / IAS 7</t>
  </si>
  <si>
    <t xml:space="preserve">Pronunciamento contábil aplicável ao exercício de 2025; página oficial do CPC identifica a correlação com IAS 7 e NBC TG 03 (R3).</t>
  </si>
  <si>
    <t xml:space="preserve">Conferir subtotais, variação líquida e conciliação do caixa; avaliar classificação/apresentação conforme CPC 03/IAS 7.</t>
  </si>
  <si>
    <t xml:space="preserve">Conferência aritmética resumida com valores publicados; sem schedule linha a linha, extratos ou razão. Não sustenta conclusão de auditoria sobre os fluxos.</t>
  </si>
  <si>
    <t xml:space="preserve">CPC 09</t>
  </si>
  <si>
    <t xml:space="preserve">CPC 09 (R1) / NBC TG 09 (R1)</t>
  </si>
  <si>
    <t xml:space="preserve">NBC TG 09 (R1): em vigor desde 01/03/2024, aplicável a exercícios iniciados em ou após 01/01/2024; aplicável a 2025.</t>
  </si>
  <si>
    <t xml:space="preserve">Recalcular a formação e a distribuição do valor adicionado; conferir subtotais e apresentação da DVA.</t>
  </si>
  <si>
    <t xml:space="preserve">Subtotais recalculados a partir dos valores divulgados; sem schedule completo linha a linha ou razão. Não sustenta conclusão sobre apresentação/classificação.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</si>
</sst>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16]#,##0.000;\(#,##0.000\);\-"/>
    <numFmt numFmtId="166" formatCode="[$-416]0.0%"/>
    <numFmt numFmtId="167" formatCode="[$-416]0.00%"/>
    <numFmt numFmtId="168" formatCode="#,##0.000;\(#,##0.000\);\-"/>
    <numFmt numFmtId="169" formatCode="[$-416]#,##0.###;\(#,##0.###\);\-"/>
    <numFmt numFmtId="170" formatCode="[$-416]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2"/>
      <charset val="1"/>
    </font>
    <font>
      <sz val="10"/>
      <name val="Arial"/>
      <family val="2"/>
    </font>
    <font>
      <sz val="11"/>
      <color rgb="FF000000"/>
      <name val="Cambria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5B44"/>
        <bgColor rgb="FF333333"/>
      </patternFill>
    </fill>
    <fill>
      <patternFill patternType="solid">
        <fgColor rgb="FFCFE9E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35B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9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5B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D1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8"/>
    <col collapsed="false" customWidth="true" hidden="false" outlineLevel="0" max="4" min="4" style="0" width="60"/>
  </cols>
  <sheetData>
    <row r="3" customFormat="false" ht="24.75" hidden="false" customHeight="true" outlineLevel="0" collapsed="false">
      <c r="C3" s="1" t="s">
        <v>0</v>
      </c>
    </row>
    <row r="5" customFormat="false" ht="15" hidden="false" customHeight="false" outlineLevel="0" collapsed="false">
      <c r="C5" s="2" t="s">
        <v>1</v>
      </c>
    </row>
    <row r="6" customFormat="false" ht="15" hidden="false" customHeight="false" outlineLevel="0" collapsed="false">
      <c r="C6" s="3" t="s">
        <v>2</v>
      </c>
    </row>
    <row r="8" customFormat="false" ht="31.5" hidden="false" customHeight="true" outlineLevel="0" collapsed="false">
      <c r="C8" s="4" t="s">
        <v>3</v>
      </c>
      <c r="D8" s="4" t="s">
        <v>4</v>
      </c>
    </row>
    <row r="9" customFormat="false" ht="24" hidden="false" customHeight="true" outlineLevel="0" collapsed="false">
      <c r="C9" s="5" t="s">
        <v>5</v>
      </c>
      <c r="D9" s="5" t="s">
        <v>6</v>
      </c>
    </row>
    <row r="10" customFormat="false" ht="27.75" hidden="false" customHeight="true" outlineLevel="0" collapsed="false">
      <c r="C10" s="5" t="s">
        <v>7</v>
      </c>
      <c r="D10" s="5" t="s">
        <v>8</v>
      </c>
    </row>
    <row r="11" customFormat="false" ht="24" hidden="false" customHeight="true" outlineLevel="0" collapsed="false">
      <c r="C11" s="5" t="s">
        <v>9</v>
      </c>
      <c r="D11" s="5" t="s">
        <v>10</v>
      </c>
    </row>
    <row r="12" customFormat="false" ht="30" hidden="false" customHeight="true" outlineLevel="0" collapsed="false">
      <c r="C12" s="5" t="s">
        <v>11</v>
      </c>
      <c r="D12" s="5" t="s">
        <v>12</v>
      </c>
    </row>
    <row r="13" customFormat="false" ht="33.75" hidden="false" customHeight="true" outlineLevel="0" collapsed="false">
      <c r="C13" s="5" t="s">
        <v>13</v>
      </c>
      <c r="D13" s="5" t="s">
        <v>14</v>
      </c>
    </row>
    <row r="14" customFormat="false" ht="33.75" hidden="false" customHeight="true" outlineLevel="0" collapsed="false">
      <c r="C14" s="5" t="s">
        <v>15</v>
      </c>
      <c r="D14" s="5" t="s">
        <v>16</v>
      </c>
    </row>
    <row r="15" customFormat="false" ht="30" hidden="false" customHeight="true" outlineLevel="0" collapsed="false">
      <c r="C15" s="5" t="s">
        <v>17</v>
      </c>
      <c r="D15" s="5" t="s">
        <v>18</v>
      </c>
    </row>
    <row r="16" customFormat="false" ht="30" hidden="false" customHeight="true" outlineLevel="0" collapsed="false">
      <c r="C16" s="5" t="s">
        <v>19</v>
      </c>
      <c r="D16" s="5" t="s">
        <v>20</v>
      </c>
    </row>
    <row r="17" customFormat="false" ht="42" hidden="false" customHeight="true" outlineLevel="0" collapsed="false">
      <c r="C17" s="5" t="s">
        <v>21</v>
      </c>
      <c r="D17" s="5" t="s">
        <v>22</v>
      </c>
    </row>
  </sheetData>
  <autoFilter ref="C8:D17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H3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8" min="3" style="0" width="27"/>
  </cols>
  <sheetData>
    <row r="3" customFormat="false" ht="24.75" hidden="false" customHeight="true" outlineLevel="0" collapsed="false">
      <c r="C3" s="1" t="s">
        <v>23</v>
      </c>
    </row>
    <row r="5" customFormat="false" ht="15" hidden="false" customHeight="false" outlineLevel="0" collapsed="false">
      <c r="C5" s="2" t="s">
        <v>24</v>
      </c>
    </row>
    <row r="6" customFormat="false" ht="15" hidden="false" customHeight="false" outlineLevel="0" collapsed="false">
      <c r="C6" s="3" t="s">
        <v>25</v>
      </c>
    </row>
    <row r="9" customFormat="false" ht="15" hidden="false" customHeight="false" outlineLevel="0" collapsed="false">
      <c r="C9" s="6" t="s">
        <v>26</v>
      </c>
      <c r="D9" s="7" t="n">
        <v>708270</v>
      </c>
    </row>
    <row r="10" customFormat="false" ht="15" hidden="false" customHeight="false" outlineLevel="0" collapsed="false">
      <c r="C10" s="6" t="s">
        <v>27</v>
      </c>
      <c r="D10" s="7" t="n">
        <v>10437548</v>
      </c>
    </row>
    <row r="11" customFormat="false" ht="15" hidden="false" customHeight="false" outlineLevel="0" collapsed="false">
      <c r="C11" s="6" t="s">
        <v>28</v>
      </c>
      <c r="D11" s="7" t="n">
        <v>12559343</v>
      </c>
    </row>
    <row r="12" customFormat="false" ht="15" hidden="false" customHeight="false" outlineLevel="0" collapsed="false">
      <c r="C12" s="6" t="s">
        <v>29</v>
      </c>
      <c r="D12" s="8" t="n">
        <v>0.05</v>
      </c>
    </row>
    <row r="13" customFormat="false" ht="26.85" hidden="false" customHeight="false" outlineLevel="0" collapsed="false">
      <c r="C13" s="6" t="s">
        <v>30</v>
      </c>
      <c r="D13" s="8" t="n">
        <v>0.5</v>
      </c>
    </row>
    <row r="14" customFormat="false" ht="15" hidden="false" customHeight="false" outlineLevel="0" collapsed="false">
      <c r="C14" s="6" t="s">
        <v>31</v>
      </c>
      <c r="D14" s="8" t="n">
        <v>0.05</v>
      </c>
    </row>
    <row r="15" customFormat="false" ht="15" hidden="false" customHeight="false" outlineLevel="0" collapsed="false">
      <c r="C15" s="9" t="s">
        <v>32</v>
      </c>
      <c r="D15" s="10" t="n">
        <f aca="false">D9*D12</f>
        <v>35413.5</v>
      </c>
    </row>
    <row r="16" customFormat="false" ht="15" hidden="false" customHeight="false" outlineLevel="0" collapsed="false">
      <c r="C16" s="9" t="s">
        <v>33</v>
      </c>
      <c r="D16" s="10" t="n">
        <f aca="false">D15*D13</f>
        <v>17706.75</v>
      </c>
    </row>
    <row r="17" customFormat="false" ht="15" hidden="false" customHeight="false" outlineLevel="0" collapsed="false">
      <c r="C17" s="9" t="s">
        <v>34</v>
      </c>
      <c r="D17" s="10" t="n">
        <f aca="false">D15*D14</f>
        <v>1770.675</v>
      </c>
    </row>
    <row r="18" customFormat="false" ht="26.85" hidden="false" customHeight="false" outlineLevel="0" collapsed="false">
      <c r="C18" s="9" t="s">
        <v>35</v>
      </c>
      <c r="D18" s="10" t="n">
        <f aca="false">D10*D34</f>
        <v>52187.74</v>
      </c>
    </row>
    <row r="19" customFormat="false" ht="15" hidden="false" customHeight="false" outlineLevel="0" collapsed="false">
      <c r="C19" s="9" t="s">
        <v>36</v>
      </c>
      <c r="D19" s="10" t="n">
        <f aca="false">D11*D35</f>
        <v>125593.43</v>
      </c>
    </row>
    <row r="20" customFormat="false" ht="15" hidden="false" customHeight="false" outlineLevel="0" collapsed="false">
      <c r="C20" s="9" t="s">
        <v>37</v>
      </c>
      <c r="D20" s="11" t="n">
        <f aca="false">D15/D10</f>
        <v>0.00339289457638901</v>
      </c>
    </row>
    <row r="21" customFormat="false" ht="15" hidden="false" customHeight="false" outlineLevel="0" collapsed="false">
      <c r="C21" s="9" t="s">
        <v>38</v>
      </c>
      <c r="D21" s="11" t="n">
        <f aca="false">D15/D11</f>
        <v>0.00281969367346684</v>
      </c>
    </row>
    <row r="23" customFormat="false" ht="15" hidden="false" customHeight="false" outlineLevel="0" collapsed="false">
      <c r="C23" s="12" t="s">
        <v>39</v>
      </c>
    </row>
    <row r="24" customFormat="false" ht="15" hidden="false" customHeight="true" outlineLevel="0" collapsed="false">
      <c r="C24" s="13" t="s">
        <v>40</v>
      </c>
      <c r="D24" s="13"/>
      <c r="E24" s="13"/>
      <c r="F24" s="13"/>
      <c r="G24" s="13"/>
      <c r="H24" s="13"/>
    </row>
    <row r="25" customFormat="false" ht="15" hidden="false" customHeight="false" outlineLevel="0" collapsed="false">
      <c r="C25" s="13"/>
      <c r="D25" s="13"/>
      <c r="E25" s="13"/>
      <c r="F25" s="13"/>
      <c r="G25" s="13"/>
      <c r="H25" s="13"/>
    </row>
    <row r="27" customFormat="false" ht="26.85" hidden="false" customHeight="false" outlineLevel="0" collapsed="false">
      <c r="C27" s="9" t="s">
        <v>41</v>
      </c>
      <c r="D27" s="7" t="n">
        <v>463419</v>
      </c>
    </row>
    <row r="28" customFormat="false" ht="26.85" hidden="false" customHeight="false" outlineLevel="0" collapsed="false">
      <c r="C28" s="9" t="s">
        <v>42</v>
      </c>
      <c r="D28" s="10" t="n">
        <f aca="false">D9-D27</f>
        <v>244851</v>
      </c>
    </row>
    <row r="29" customFormat="false" ht="15" hidden="false" customHeight="false" outlineLevel="0" collapsed="false">
      <c r="C29" s="9" t="s">
        <v>43</v>
      </c>
      <c r="D29" s="10" t="n">
        <f aca="false">D28*D12</f>
        <v>12242.55</v>
      </c>
    </row>
    <row r="30" customFormat="false" ht="15" hidden="false" customHeight="false" outlineLevel="0" collapsed="false">
      <c r="C30" s="9" t="s">
        <v>44</v>
      </c>
      <c r="D30" s="10" t="n">
        <f aca="false">D29*D13</f>
        <v>6121.275</v>
      </c>
    </row>
    <row r="31" customFormat="false" ht="15" hidden="false" customHeight="false" outlineLevel="0" collapsed="false">
      <c r="C31" s="9" t="s">
        <v>45</v>
      </c>
      <c r="D31" s="10" t="n">
        <f aca="false">D29*D14</f>
        <v>612.1275</v>
      </c>
    </row>
    <row r="32" customFormat="false" ht="15" hidden="false" customHeight="false" outlineLevel="0" collapsed="false">
      <c r="C32" s="9" t="s">
        <v>46</v>
      </c>
      <c r="D32" s="10" t="n">
        <f aca="false">D10*D34</f>
        <v>52187.74</v>
      </c>
    </row>
    <row r="33" customFormat="false" ht="15" hidden="false" customHeight="false" outlineLevel="0" collapsed="false">
      <c r="C33" s="9" t="s">
        <v>47</v>
      </c>
      <c r="D33" s="10" t="n">
        <f aca="false">D11*D35</f>
        <v>125593.43</v>
      </c>
    </row>
    <row r="34" customFormat="false" ht="26.85" hidden="false" customHeight="false" outlineLevel="0" collapsed="false">
      <c r="C34" s="9" t="s">
        <v>48</v>
      </c>
      <c r="D34" s="14" t="n">
        <v>0.005</v>
      </c>
    </row>
    <row r="35" customFormat="false" ht="26.85" hidden="false" customHeight="false" outlineLevel="0" collapsed="false">
      <c r="C35" s="9" t="s">
        <v>49</v>
      </c>
      <c r="D35" s="14" t="n">
        <v>0.01</v>
      </c>
    </row>
    <row r="36" customFormat="false" ht="26.85" hidden="false" customHeight="false" outlineLevel="0" collapsed="false">
      <c r="C36" s="9" t="s">
        <v>50</v>
      </c>
      <c r="D36" s="10" t="n">
        <f aca="false">D18*D13</f>
        <v>26093.87</v>
      </c>
    </row>
    <row r="37" customFormat="false" ht="15" hidden="false" customHeight="false" outlineLevel="0" collapsed="false">
      <c r="C37" s="9" t="s">
        <v>51</v>
      </c>
      <c r="D37" s="10" t="n">
        <f aca="false">D18*D14</f>
        <v>2609.387</v>
      </c>
    </row>
    <row r="38" customFormat="false" ht="15" hidden="false" customHeight="false" outlineLevel="0" collapsed="false">
      <c r="C38" s="9" t="s">
        <v>52</v>
      </c>
      <c r="D38" s="10" t="n">
        <f aca="false">D19*D13</f>
        <v>62796.715</v>
      </c>
    </row>
    <row r="39" customFormat="false" ht="15" hidden="false" customHeight="false" outlineLevel="0" collapsed="false">
      <c r="C39" s="9" t="s">
        <v>53</v>
      </c>
      <c r="D39" s="10" t="n">
        <f aca="false">D19*D14</f>
        <v>6279.6715</v>
      </c>
    </row>
  </sheetData>
  <mergeCells count="1">
    <mergeCell ref="C24:H25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G3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9"/>
    <col collapsed="false" customWidth="true" hidden="false" outlineLevel="0" max="5" min="4" style="0" width="14"/>
    <col collapsed="false" customWidth="true" hidden="false" outlineLevel="0" max="6" min="6" style="0" width="46"/>
    <col collapsed="false" customWidth="true" hidden="false" outlineLevel="0" max="7" min="7" style="0" width="22"/>
  </cols>
  <sheetData>
    <row r="3" customFormat="false" ht="24.75" hidden="false" customHeight="true" outlineLevel="0" collapsed="false">
      <c r="C3" s="1" t="s">
        <v>54</v>
      </c>
    </row>
    <row r="5" customFormat="false" ht="15" hidden="false" customHeight="false" outlineLevel="0" collapsed="false">
      <c r="C5" s="2" t="s">
        <v>55</v>
      </c>
    </row>
    <row r="6" customFormat="false" ht="15" hidden="false" customHeight="false" outlineLevel="0" collapsed="false">
      <c r="C6" s="3" t="s">
        <v>56</v>
      </c>
    </row>
    <row r="8" customFormat="false" ht="31.5" hidden="false" customHeight="true" outlineLevel="0" collapsed="false">
      <c r="C8" s="4" t="s">
        <v>57</v>
      </c>
      <c r="D8" s="4" t="s">
        <v>58</v>
      </c>
      <c r="E8" s="4" t="s">
        <v>59</v>
      </c>
      <c r="F8" s="4" t="s">
        <v>60</v>
      </c>
    </row>
    <row r="9" customFormat="false" ht="34.5" hidden="false" customHeight="true" outlineLevel="0" collapsed="false">
      <c r="C9" s="5" t="s">
        <v>28</v>
      </c>
      <c r="D9" s="7" t="n">
        <v>12559343</v>
      </c>
      <c r="E9" s="7" t="n">
        <v>12768867</v>
      </c>
      <c r="F9" s="5" t="s">
        <v>61</v>
      </c>
    </row>
    <row r="10" customFormat="false" ht="34.5" hidden="false" customHeight="true" outlineLevel="0" collapsed="false">
      <c r="C10" s="5" t="s">
        <v>62</v>
      </c>
      <c r="D10" s="7" t="n">
        <v>3570990</v>
      </c>
      <c r="E10" s="7" t="n">
        <v>3590675</v>
      </c>
      <c r="F10" s="5" t="s">
        <v>63</v>
      </c>
    </row>
    <row r="11" customFormat="false" ht="34.5" hidden="false" customHeight="true" outlineLevel="0" collapsed="false">
      <c r="C11" s="5" t="s">
        <v>64</v>
      </c>
      <c r="D11" s="7" t="n">
        <v>2416590</v>
      </c>
      <c r="E11" s="7" t="n">
        <v>2414480</v>
      </c>
      <c r="F11" s="5" t="s">
        <v>65</v>
      </c>
    </row>
    <row r="12" customFormat="false" ht="34.5" hidden="false" customHeight="true" outlineLevel="0" collapsed="false">
      <c r="C12" s="5" t="s">
        <v>66</v>
      </c>
      <c r="D12" s="7" t="n">
        <v>1888270</v>
      </c>
      <c r="E12" s="7" t="n">
        <v>2152587</v>
      </c>
      <c r="F12" s="5" t="s">
        <v>67</v>
      </c>
    </row>
    <row r="13" customFormat="false" ht="34.5" hidden="false" customHeight="true" outlineLevel="0" collapsed="false">
      <c r="C13" s="5" t="s">
        <v>68</v>
      </c>
      <c r="D13" s="7" t="n">
        <v>1843604</v>
      </c>
      <c r="E13" s="7" t="n">
        <v>1670045</v>
      </c>
      <c r="F13" s="5" t="s">
        <v>69</v>
      </c>
    </row>
    <row r="14" customFormat="false" ht="34.5" hidden="false" customHeight="true" outlineLevel="0" collapsed="false">
      <c r="C14" s="5" t="s">
        <v>70</v>
      </c>
      <c r="D14" s="7" t="n">
        <v>1675464</v>
      </c>
      <c r="E14" s="7" t="n">
        <v>1687637</v>
      </c>
      <c r="F14" s="5" t="s">
        <v>71</v>
      </c>
    </row>
    <row r="15" customFormat="false" ht="34.5" hidden="false" customHeight="true" outlineLevel="0" collapsed="false">
      <c r="C15" s="5" t="s">
        <v>72</v>
      </c>
      <c r="D15" s="7" t="n">
        <v>2235103</v>
      </c>
      <c r="E15" s="7" t="n">
        <v>2732737</v>
      </c>
      <c r="F15" s="5" t="s">
        <v>61</v>
      </c>
    </row>
    <row r="16" customFormat="false" ht="34.5" hidden="false" customHeight="true" outlineLevel="0" collapsed="false">
      <c r="C16" s="5" t="s">
        <v>27</v>
      </c>
      <c r="D16" s="7" t="n">
        <v>10437548</v>
      </c>
      <c r="E16" s="7" t="n">
        <v>9662833</v>
      </c>
      <c r="F16" s="5" t="s">
        <v>73</v>
      </c>
    </row>
    <row r="17" customFormat="false" ht="34.5" hidden="false" customHeight="true" outlineLevel="0" collapsed="false">
      <c r="C17" s="5" t="s">
        <v>74</v>
      </c>
      <c r="D17" s="7" t="n">
        <v>708270</v>
      </c>
      <c r="E17" s="7" t="n">
        <v>823185</v>
      </c>
      <c r="F17" s="5" t="s">
        <v>75</v>
      </c>
    </row>
    <row r="18" customFormat="false" ht="34.5" hidden="false" customHeight="true" outlineLevel="0" collapsed="false">
      <c r="C18" s="5" t="s">
        <v>76</v>
      </c>
      <c r="D18" s="7" t="n">
        <v>7205695</v>
      </c>
      <c r="E18" s="15"/>
      <c r="F18" s="5" t="s">
        <v>77</v>
      </c>
    </row>
    <row r="19" customFormat="false" ht="34.5" hidden="false" customHeight="true" outlineLevel="0" collapsed="false">
      <c r="C19" s="5" t="s">
        <v>78</v>
      </c>
      <c r="D19" s="7" t="n">
        <v>3634705</v>
      </c>
      <c r="E19" s="15"/>
      <c r="F19" s="5" t="s">
        <v>77</v>
      </c>
    </row>
    <row r="23" customFormat="false" ht="26.85" hidden="false" customHeight="false" outlineLevel="0" collapsed="false">
      <c r="C23" s="4" t="s">
        <v>79</v>
      </c>
      <c r="D23" s="4" t="s">
        <v>80</v>
      </c>
      <c r="E23" s="4" t="s">
        <v>81</v>
      </c>
      <c r="F23" s="4" t="s">
        <v>78</v>
      </c>
      <c r="G23" s="4" t="s">
        <v>82</v>
      </c>
    </row>
    <row r="24" customFormat="false" ht="15" hidden="false" customHeight="false" outlineLevel="0" collapsed="false">
      <c r="C24" s="6" t="s">
        <v>83</v>
      </c>
      <c r="D24" s="16" t="n">
        <v>3000</v>
      </c>
      <c r="E24" s="7" t="n">
        <v>1740776</v>
      </c>
      <c r="F24" s="7" t="n">
        <v>548812</v>
      </c>
      <c r="G24" s="7" t="n">
        <v>1191964</v>
      </c>
    </row>
    <row r="25" customFormat="false" ht="15" hidden="false" customHeight="false" outlineLevel="0" collapsed="false">
      <c r="C25" s="6" t="s">
        <v>84</v>
      </c>
      <c r="D25" s="16" t="n">
        <v>210000</v>
      </c>
      <c r="E25" s="7" t="n">
        <v>3682384</v>
      </c>
      <c r="F25" s="7" t="n">
        <v>2388537</v>
      </c>
      <c r="G25" s="7" t="n">
        <v>1293847</v>
      </c>
    </row>
    <row r="26" customFormat="false" ht="15" hidden="false" customHeight="false" outlineLevel="0" collapsed="false">
      <c r="C26" s="6" t="s">
        <v>85</v>
      </c>
      <c r="D26" s="16" t="n">
        <v>160000</v>
      </c>
      <c r="E26" s="7" t="n">
        <v>145342</v>
      </c>
      <c r="F26" s="7" t="n">
        <v>97227</v>
      </c>
      <c r="G26" s="7" t="n">
        <v>48115</v>
      </c>
    </row>
    <row r="27" customFormat="false" ht="15" hidden="false" customHeight="false" outlineLevel="0" collapsed="false">
      <c r="C27" s="6" t="s">
        <v>86</v>
      </c>
      <c r="D27" s="16" t="n">
        <v>10000</v>
      </c>
      <c r="E27" s="7" t="n">
        <v>256948</v>
      </c>
      <c r="F27" s="7" t="n">
        <v>127743</v>
      </c>
      <c r="G27" s="7" t="n">
        <v>129205</v>
      </c>
    </row>
    <row r="28" customFormat="false" ht="15" hidden="false" customHeight="false" outlineLevel="0" collapsed="false">
      <c r="C28" s="6" t="s">
        <v>87</v>
      </c>
      <c r="D28" s="16" t="n">
        <v>40000</v>
      </c>
      <c r="E28" s="7" t="n">
        <v>572492</v>
      </c>
      <c r="F28" s="7" t="n">
        <v>306773</v>
      </c>
      <c r="G28" s="7" t="n">
        <v>265719</v>
      </c>
    </row>
    <row r="29" customFormat="false" ht="15" hidden="false" customHeight="false" outlineLevel="0" collapsed="false">
      <c r="C29" s="6" t="s">
        <v>88</v>
      </c>
      <c r="D29" s="16" t="n">
        <v>30000</v>
      </c>
      <c r="E29" s="7" t="n">
        <v>415229</v>
      </c>
      <c r="F29" s="7" t="n">
        <v>2220</v>
      </c>
      <c r="G29" s="7" t="n">
        <v>413009</v>
      </c>
    </row>
    <row r="30" customFormat="false" ht="15" hidden="false" customHeight="false" outlineLevel="0" collapsed="false">
      <c r="C30" s="6" t="s">
        <v>89</v>
      </c>
      <c r="D30" s="16" t="n">
        <v>47000</v>
      </c>
      <c r="E30" s="7" t="n">
        <v>392524</v>
      </c>
      <c r="F30" s="7" t="n">
        <v>163393</v>
      </c>
      <c r="G30" s="7" t="n">
        <v>229131</v>
      </c>
    </row>
    <row r="31" customFormat="false" ht="15" hidden="false" customHeight="false" outlineLevel="0" collapsed="false">
      <c r="C31" s="17" t="s">
        <v>90</v>
      </c>
      <c r="D31" s="18" t="n">
        <f aca="false">SUM(D24:D30)</f>
        <v>500000</v>
      </c>
      <c r="E31" s="19" t="n">
        <f aca="false">SUM(E24:E30)</f>
        <v>7205695</v>
      </c>
      <c r="F31" s="19" t="n">
        <f aca="false">SUM(F24:F30)</f>
        <v>3634705</v>
      </c>
      <c r="G31" s="19" t="n">
        <f aca="false">SUM(G24:G30)</f>
        <v>3570990</v>
      </c>
    </row>
  </sheetData>
  <autoFilter ref="C8:F19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H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7" min="6" style="0" width="46"/>
  </cols>
  <sheetData>
    <row r="3" customFormat="false" ht="24.75" hidden="false" customHeight="true" outlineLevel="0" collapsed="false">
      <c r="C3" s="1" t="s">
        <v>91</v>
      </c>
    </row>
    <row r="5" customFormat="false" ht="15" hidden="false" customHeight="false" outlineLevel="0" collapsed="false">
      <c r="C5" s="2" t="s">
        <v>92</v>
      </c>
    </row>
    <row r="6" customFormat="false" ht="15" hidden="false" customHeight="false" outlineLevel="0" collapsed="false">
      <c r="C6" s="3" t="s">
        <v>93</v>
      </c>
    </row>
    <row r="8" customFormat="false" ht="31.5" hidden="false" customHeight="true" outlineLevel="0" collapsed="false">
      <c r="C8" s="4" t="s">
        <v>94</v>
      </c>
      <c r="D8" s="4" t="s">
        <v>95</v>
      </c>
      <c r="E8" s="4" t="s">
        <v>96</v>
      </c>
      <c r="F8" s="4" t="s">
        <v>97</v>
      </c>
      <c r="G8" s="4" t="s">
        <v>98</v>
      </c>
    </row>
    <row r="9" customFormat="false" ht="75" hidden="false" customHeight="true" outlineLevel="0" collapsed="false">
      <c r="C9" s="5" t="s">
        <v>62</v>
      </c>
      <c r="D9" s="20" t="n">
        <f aca="false">Saldos!D10</f>
        <v>3570990</v>
      </c>
      <c r="E9" s="21" t="n">
        <f aca="false">D9/Saldos!D9</f>
        <v>0.284329363406987</v>
      </c>
      <c r="F9" s="5" t="s">
        <v>99</v>
      </c>
      <c r="G9" s="5" t="s">
        <v>100</v>
      </c>
    </row>
    <row r="10" customFormat="false" ht="75" hidden="false" customHeight="true" outlineLevel="0" collapsed="false">
      <c r="C10" s="5" t="s">
        <v>64</v>
      </c>
      <c r="D10" s="20" t="n">
        <f aca="false">Saldos!D11</f>
        <v>2416590</v>
      </c>
      <c r="E10" s="21" t="n">
        <f aca="false">D10/Saldos!D9</f>
        <v>0.192413727374115</v>
      </c>
      <c r="F10" s="5" t="s">
        <v>101</v>
      </c>
      <c r="G10" s="5" t="s">
        <v>102</v>
      </c>
    </row>
    <row r="11" customFormat="false" ht="75" hidden="false" customHeight="true" outlineLevel="0" collapsed="false">
      <c r="C11" s="5" t="s">
        <v>66</v>
      </c>
      <c r="D11" s="20" t="n">
        <f aca="false">Saldos!D12</f>
        <v>1888270</v>
      </c>
      <c r="E11" s="21" t="n">
        <f aca="false">D11/Saldos!D9</f>
        <v>0.150347832685197</v>
      </c>
      <c r="F11" s="5" t="s">
        <v>103</v>
      </c>
      <c r="G11" s="5" t="s">
        <v>104</v>
      </c>
    </row>
    <row r="12" customFormat="false" ht="75" hidden="false" customHeight="true" outlineLevel="0" collapsed="false">
      <c r="C12" s="5" t="s">
        <v>105</v>
      </c>
      <c r="D12" s="20" t="n">
        <f aca="false">Saldos!D13</f>
        <v>1843604</v>
      </c>
      <c r="E12" s="21" t="n">
        <f aca="false">D12/Saldos!D9</f>
        <v>0.146791436462879</v>
      </c>
      <c r="F12" s="5" t="s">
        <v>106</v>
      </c>
      <c r="G12" s="5" t="s">
        <v>107</v>
      </c>
    </row>
    <row r="13" customFormat="false" ht="75" hidden="false" customHeight="true" outlineLevel="0" collapsed="false">
      <c r="C13" s="5" t="s">
        <v>70</v>
      </c>
      <c r="D13" s="20" t="n">
        <f aca="false">Saldos!D14</f>
        <v>1675464</v>
      </c>
      <c r="E13" s="21" t="n">
        <f aca="false">D13/Saldos!D9</f>
        <v>0.133403793494612</v>
      </c>
      <c r="F13" s="5" t="s">
        <v>108</v>
      </c>
      <c r="G13" s="5" t="s">
        <v>109</v>
      </c>
    </row>
    <row r="17" customFormat="false" ht="15" hidden="false" customHeight="false" outlineLevel="0" collapsed="false">
      <c r="C17" s="12" t="s">
        <v>110</v>
      </c>
    </row>
    <row r="18" customFormat="false" ht="34.5" hidden="false" customHeight="true" outlineLevel="0" collapsed="false">
      <c r="C18" s="13" t="s">
        <v>111</v>
      </c>
      <c r="D18" s="13"/>
      <c r="E18" s="13"/>
      <c r="F18" s="13"/>
      <c r="G18" s="13"/>
      <c r="H18" s="13"/>
    </row>
    <row r="19" customFormat="false" ht="24.75" hidden="false" customHeight="true" outlineLevel="0" collapsed="false">
      <c r="C19" s="13"/>
      <c r="D19" s="13"/>
      <c r="E19" s="13"/>
      <c r="F19" s="13"/>
      <c r="G19" s="13"/>
      <c r="H19" s="13"/>
    </row>
    <row r="20" customFormat="false" ht="24.75" hidden="false" customHeight="true" outlineLevel="0" collapsed="false">
      <c r="C20" s="13"/>
      <c r="D20" s="13"/>
      <c r="E20" s="13"/>
      <c r="F20" s="13"/>
      <c r="G20" s="13"/>
      <c r="H20" s="13"/>
    </row>
  </sheetData>
  <autoFilter ref="C8:G13"/>
  <mergeCells count="1">
    <mergeCell ref="C18:H20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H1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8" min="5" style="0" width="46"/>
  </cols>
  <sheetData>
    <row r="3" customFormat="false" ht="24.75" hidden="false" customHeight="true" outlineLevel="0" collapsed="false">
      <c r="C3" s="1" t="s">
        <v>112</v>
      </c>
    </row>
    <row r="5" customFormat="false" ht="15" hidden="false" customHeight="false" outlineLevel="0" collapsed="false">
      <c r="C5" s="2" t="s">
        <v>113</v>
      </c>
    </row>
    <row r="6" customFormat="false" ht="15" hidden="false" customHeight="false" outlineLevel="0" collapsed="false">
      <c r="C6" s="3" t="s">
        <v>114</v>
      </c>
    </row>
    <row r="8" customFormat="false" ht="31.5" hidden="false" customHeight="true" outlineLevel="0" collapsed="false">
      <c r="C8" s="4" t="s">
        <v>115</v>
      </c>
      <c r="D8" s="4" t="s">
        <v>116</v>
      </c>
      <c r="E8" s="4" t="s">
        <v>117</v>
      </c>
      <c r="F8" s="4" t="s">
        <v>118</v>
      </c>
      <c r="G8" s="4" t="s">
        <v>119</v>
      </c>
      <c r="H8" s="4" t="s">
        <v>120</v>
      </c>
    </row>
    <row r="9" customFormat="false" ht="34.5" hidden="false" customHeight="true" outlineLevel="0" collapsed="false">
      <c r="C9" s="5" t="s">
        <v>121</v>
      </c>
      <c r="D9" s="5" t="s">
        <v>122</v>
      </c>
      <c r="E9" s="5" t="s">
        <v>123</v>
      </c>
      <c r="F9" s="5" t="s">
        <v>124</v>
      </c>
      <c r="G9" s="5" t="s">
        <v>125</v>
      </c>
      <c r="H9" s="5" t="s">
        <v>126</v>
      </c>
    </row>
    <row r="10" customFormat="false" ht="34.5" hidden="false" customHeight="true" outlineLevel="0" collapsed="false">
      <c r="C10" s="5" t="s">
        <v>127</v>
      </c>
      <c r="D10" s="5" t="s">
        <v>122</v>
      </c>
      <c r="E10" s="5" t="s">
        <v>128</v>
      </c>
      <c r="F10" s="5" t="s">
        <v>129</v>
      </c>
      <c r="G10" s="5" t="s">
        <v>130</v>
      </c>
      <c r="H10" s="5" t="s">
        <v>131</v>
      </c>
    </row>
    <row r="11" customFormat="false" ht="34.5" hidden="false" customHeight="true" outlineLevel="0" collapsed="false">
      <c r="C11" s="5" t="s">
        <v>132</v>
      </c>
      <c r="D11" s="5" t="s">
        <v>122</v>
      </c>
      <c r="E11" s="5" t="s">
        <v>133</v>
      </c>
      <c r="F11" s="5" t="s">
        <v>134</v>
      </c>
      <c r="G11" s="5" t="s">
        <v>135</v>
      </c>
      <c r="H11" s="5" t="s">
        <v>136</v>
      </c>
    </row>
    <row r="12" customFormat="false" ht="34.5" hidden="false" customHeight="true" outlineLevel="0" collapsed="false">
      <c r="C12" s="5" t="s">
        <v>137</v>
      </c>
      <c r="D12" s="5" t="s">
        <v>138</v>
      </c>
      <c r="E12" s="5" t="s">
        <v>139</v>
      </c>
      <c r="F12" s="5" t="s">
        <v>140</v>
      </c>
      <c r="G12" s="5" t="s">
        <v>141</v>
      </c>
      <c r="H12" s="5" t="s">
        <v>142</v>
      </c>
    </row>
    <row r="13" customFormat="false" ht="34.5" hidden="false" customHeight="true" outlineLevel="0" collapsed="false">
      <c r="C13" s="5" t="s">
        <v>143</v>
      </c>
      <c r="D13" s="5" t="s">
        <v>122</v>
      </c>
      <c r="E13" s="5" t="s">
        <v>144</v>
      </c>
      <c r="F13" s="5" t="s">
        <v>145</v>
      </c>
      <c r="G13" s="5" t="s">
        <v>146</v>
      </c>
      <c r="H13" s="5" t="s">
        <v>147</v>
      </c>
    </row>
    <row r="14" customFormat="false" ht="34.5" hidden="false" customHeight="true" outlineLevel="0" collapsed="false">
      <c r="C14" s="5" t="s">
        <v>148</v>
      </c>
      <c r="D14" s="5" t="s">
        <v>149</v>
      </c>
      <c r="E14" s="5" t="s">
        <v>150</v>
      </c>
      <c r="F14" s="5" t="s">
        <v>151</v>
      </c>
      <c r="G14" s="5" t="s">
        <v>152</v>
      </c>
      <c r="H14" s="5" t="s">
        <v>153</v>
      </c>
    </row>
    <row r="15" customFormat="false" ht="34.5" hidden="false" customHeight="true" outlineLevel="0" collapsed="false">
      <c r="C15" s="5" t="s">
        <v>154</v>
      </c>
      <c r="D15" s="5" t="s">
        <v>155</v>
      </c>
      <c r="E15" s="5" t="s">
        <v>156</v>
      </c>
      <c r="F15" s="5" t="s">
        <v>157</v>
      </c>
      <c r="G15" s="5" t="s">
        <v>158</v>
      </c>
      <c r="H15" s="5" t="s">
        <v>159</v>
      </c>
    </row>
    <row r="16" customFormat="false" ht="34.5" hidden="false" customHeight="true" outlineLevel="0" collapsed="false">
      <c r="C16" s="5" t="s">
        <v>160</v>
      </c>
      <c r="D16" s="5" t="s">
        <v>161</v>
      </c>
      <c r="E16" s="5" t="s">
        <v>162</v>
      </c>
      <c r="F16" s="5" t="s">
        <v>163</v>
      </c>
      <c r="G16" s="5" t="s">
        <v>164</v>
      </c>
      <c r="H16" s="5" t="s">
        <v>165</v>
      </c>
    </row>
  </sheetData>
  <autoFilter ref="C8:H16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E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2"/>
    <col collapsed="false" customWidth="true" hidden="false" outlineLevel="0" max="4" min="4" style="0" width="41"/>
    <col collapsed="false" customWidth="true" hidden="false" outlineLevel="0" max="5" min="5" style="0" width="46"/>
  </cols>
  <sheetData>
    <row r="3" customFormat="false" ht="24.75" hidden="false" customHeight="true" outlineLevel="0" collapsed="false">
      <c r="C3" s="1" t="s">
        <v>166</v>
      </c>
    </row>
    <row r="5" customFormat="false" ht="15" hidden="false" customHeight="false" outlineLevel="0" collapsed="false">
      <c r="C5" s="2" t="s">
        <v>167</v>
      </c>
    </row>
    <row r="6" customFormat="false" ht="15" hidden="false" customHeight="false" outlineLevel="0" collapsed="false">
      <c r="C6" s="3" t="s">
        <v>168</v>
      </c>
    </row>
    <row r="8" customFormat="false" ht="31.5" hidden="false" customHeight="true" outlineLevel="0" collapsed="false">
      <c r="C8" s="4" t="s">
        <v>169</v>
      </c>
      <c r="D8" s="4" t="s">
        <v>170</v>
      </c>
      <c r="E8" s="4" t="s">
        <v>171</v>
      </c>
    </row>
    <row r="9" customFormat="false" ht="34.5" hidden="false" customHeight="true" outlineLevel="0" collapsed="false">
      <c r="C9" s="5" t="s">
        <v>172</v>
      </c>
      <c r="D9" s="16" t="n">
        <v>500000</v>
      </c>
      <c r="E9" s="5" t="s">
        <v>173</v>
      </c>
    </row>
    <row r="10" customFormat="false" ht="34.5" hidden="false" customHeight="true" outlineLevel="0" collapsed="false">
      <c r="C10" s="5" t="s">
        <v>9</v>
      </c>
      <c r="D10" s="5" t="s">
        <v>174</v>
      </c>
      <c r="E10" s="5" t="s">
        <v>175</v>
      </c>
    </row>
    <row r="11" customFormat="false" ht="34.5" hidden="false" customHeight="true" outlineLevel="0" collapsed="false">
      <c r="C11" s="5" t="s">
        <v>176</v>
      </c>
      <c r="D11" s="16" t="n">
        <v>384</v>
      </c>
      <c r="E11" s="5" t="s">
        <v>177</v>
      </c>
    </row>
    <row r="12" customFormat="false" ht="34.5" hidden="false" customHeight="true" outlineLevel="0" collapsed="false">
      <c r="C12" s="5" t="s">
        <v>178</v>
      </c>
      <c r="D12" s="5" t="s">
        <v>179</v>
      </c>
      <c r="E12" s="5" t="s">
        <v>180</v>
      </c>
    </row>
    <row r="13" customFormat="false" ht="34.5" hidden="false" customHeight="true" outlineLevel="0" collapsed="false">
      <c r="C13" s="5" t="s">
        <v>181</v>
      </c>
      <c r="D13" s="16" t="n">
        <v>441</v>
      </c>
      <c r="E13" s="5" t="s">
        <v>182</v>
      </c>
    </row>
    <row r="14" customFormat="false" ht="34.5" hidden="false" customHeight="true" outlineLevel="0" collapsed="false">
      <c r="C14" s="5" t="s">
        <v>183</v>
      </c>
      <c r="D14" s="5" t="s">
        <v>184</v>
      </c>
      <c r="E14" s="5" t="s">
        <v>185</v>
      </c>
    </row>
    <row r="15" customFormat="false" ht="34.5" hidden="false" customHeight="true" outlineLevel="0" collapsed="false">
      <c r="C15" s="5" t="s">
        <v>186</v>
      </c>
      <c r="D15" s="22" t="n">
        <f aca="false">Saldos!D10/606</f>
        <v>5892.72277227723</v>
      </c>
      <c r="E15" s="5" t="s">
        <v>187</v>
      </c>
    </row>
    <row r="16" customFormat="false" ht="34.5" hidden="false" customHeight="true" outlineLevel="0" collapsed="false">
      <c r="C16" s="5" t="s">
        <v>188</v>
      </c>
      <c r="D16" s="5" t="s">
        <v>189</v>
      </c>
      <c r="E16" s="5" t="s">
        <v>190</v>
      </c>
    </row>
    <row r="17" customFormat="false" ht="34.5" hidden="false" customHeight="true" outlineLevel="0" collapsed="false">
      <c r="C17" s="5" t="s">
        <v>191</v>
      </c>
      <c r="D17" s="5" t="s">
        <v>192</v>
      </c>
      <c r="E17" s="5" t="s">
        <v>193</v>
      </c>
    </row>
    <row r="18" customFormat="false" ht="34.5" hidden="false" customHeight="true" outlineLevel="0" collapsed="false">
      <c r="C18" s="5" t="s">
        <v>194</v>
      </c>
      <c r="D18" s="5" t="s">
        <v>195</v>
      </c>
      <c r="E18" s="5" t="s">
        <v>196</v>
      </c>
    </row>
    <row r="19" customFormat="false" ht="34.5" hidden="false" customHeight="true" outlineLevel="0" collapsed="false">
      <c r="C19" s="5" t="s">
        <v>120</v>
      </c>
      <c r="D19" s="5" t="s">
        <v>197</v>
      </c>
      <c r="E19" s="5" t="s">
        <v>198</v>
      </c>
    </row>
  </sheetData>
  <autoFilter ref="C8:E19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G1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31"/>
    <col collapsed="false" customWidth="true" hidden="false" outlineLevel="0" max="6" min="6" style="0" width="41"/>
    <col collapsed="false" customWidth="true" hidden="false" outlineLevel="0" max="7" min="7" style="0" width="46"/>
  </cols>
  <sheetData>
    <row r="3" customFormat="false" ht="24.75" hidden="false" customHeight="true" outlineLevel="0" collapsed="false">
      <c r="C3" s="1" t="s">
        <v>199</v>
      </c>
    </row>
    <row r="5" customFormat="false" ht="15" hidden="false" customHeight="false" outlineLevel="0" collapsed="false">
      <c r="C5" s="2" t="s">
        <v>200</v>
      </c>
    </row>
    <row r="6" customFormat="false" ht="15" hidden="false" customHeight="false" outlineLevel="0" collapsed="false">
      <c r="C6" s="3" t="s">
        <v>201</v>
      </c>
    </row>
    <row r="8" customFormat="false" ht="31.5" hidden="false" customHeight="true" outlineLevel="0" collapsed="false">
      <c r="C8" s="4" t="s">
        <v>79</v>
      </c>
      <c r="D8" s="4" t="s">
        <v>202</v>
      </c>
      <c r="E8" s="4" t="s">
        <v>203</v>
      </c>
      <c r="F8" s="4" t="s">
        <v>204</v>
      </c>
      <c r="G8" s="4" t="s">
        <v>205</v>
      </c>
    </row>
    <row r="9" customFormat="false" ht="34.5" hidden="false" customHeight="true" outlineLevel="0" collapsed="false">
      <c r="C9" s="5" t="s">
        <v>206</v>
      </c>
      <c r="D9" s="16" t="n">
        <v>5</v>
      </c>
      <c r="E9" s="16" t="n">
        <v>39000</v>
      </c>
      <c r="F9" s="5" t="s">
        <v>207</v>
      </c>
      <c r="G9" s="5" t="s">
        <v>208</v>
      </c>
    </row>
    <row r="10" customFormat="false" ht="34.5" hidden="false" customHeight="true" outlineLevel="0" collapsed="false">
      <c r="C10" s="5" t="s">
        <v>209</v>
      </c>
      <c r="D10" s="16" t="n">
        <v>12</v>
      </c>
      <c r="E10" s="23"/>
      <c r="F10" s="5" t="s">
        <v>210</v>
      </c>
      <c r="G10" s="5" t="s">
        <v>211</v>
      </c>
    </row>
    <row r="11" customFormat="false" ht="34.5" hidden="false" customHeight="true" outlineLevel="0" collapsed="false">
      <c r="C11" s="5" t="s">
        <v>212</v>
      </c>
      <c r="D11" s="16" t="n">
        <v>12</v>
      </c>
      <c r="E11" s="23"/>
      <c r="F11" s="5" t="s">
        <v>210</v>
      </c>
      <c r="G11" s="5" t="s">
        <v>213</v>
      </c>
    </row>
    <row r="12" customFormat="false" ht="34.5" hidden="false" customHeight="true" outlineLevel="0" collapsed="false">
      <c r="C12" s="5" t="s">
        <v>214</v>
      </c>
      <c r="D12" s="16" t="n">
        <v>8</v>
      </c>
      <c r="E12" s="16" t="n">
        <v>3.848</v>
      </c>
      <c r="F12" s="5" t="s">
        <v>215</v>
      </c>
      <c r="G12" s="5" t="s">
        <v>216</v>
      </c>
    </row>
    <row r="13" customFormat="false" ht="34.5" hidden="false" customHeight="true" outlineLevel="0" collapsed="false">
      <c r="C13" s="5" t="s">
        <v>217</v>
      </c>
      <c r="D13" s="16" t="n">
        <v>0</v>
      </c>
      <c r="E13" s="16" t="n">
        <v>0</v>
      </c>
      <c r="F13" s="5" t="s">
        <v>218</v>
      </c>
      <c r="G13" s="5" t="s">
        <v>219</v>
      </c>
    </row>
  </sheetData>
  <autoFilter ref="C8:G13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H1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37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46"/>
  </cols>
  <sheetData>
    <row r="3" customFormat="false" ht="24.75" hidden="false" customHeight="true" outlineLevel="0" collapsed="false">
      <c r="C3" s="1" t="s">
        <v>220</v>
      </c>
    </row>
    <row r="5" customFormat="false" ht="15" hidden="false" customHeight="false" outlineLevel="0" collapsed="false">
      <c r="C5" s="2" t="s">
        <v>221</v>
      </c>
    </row>
    <row r="6" customFormat="false" ht="15" hidden="false" customHeight="false" outlineLevel="0" collapsed="false">
      <c r="C6" s="3" t="s">
        <v>222</v>
      </c>
    </row>
    <row r="8" customFormat="false" ht="31.5" hidden="false" customHeight="true" outlineLevel="0" collapsed="false">
      <c r="C8" s="4" t="s">
        <v>223</v>
      </c>
      <c r="D8" s="4" t="s">
        <v>224</v>
      </c>
      <c r="E8" s="4" t="s">
        <v>225</v>
      </c>
      <c r="F8" s="4" t="s">
        <v>226</v>
      </c>
      <c r="G8" s="4" t="s">
        <v>227</v>
      </c>
      <c r="H8" s="4" t="s">
        <v>228</v>
      </c>
    </row>
    <row r="9" customFormat="false" ht="57.75" hidden="false" customHeight="true" outlineLevel="0" collapsed="false">
      <c r="C9" s="5" t="s">
        <v>229</v>
      </c>
      <c r="D9" s="22" t="n">
        <f aca="false">Saldos!D13</f>
        <v>1843604</v>
      </c>
      <c r="E9" s="22" t="n">
        <f aca="false">Saldos!E13*(Saldos!D16/Saldos!E16)</f>
        <v>1803940.40232921</v>
      </c>
      <c r="F9" s="10" t="n">
        <f aca="false">D9-E9</f>
        <v>39663.5976707866</v>
      </c>
      <c r="G9" s="22" t="n">
        <f aca="false">Materialidade!D16</f>
        <v>17706.75</v>
      </c>
      <c r="H9" s="5" t="s">
        <v>230</v>
      </c>
    </row>
    <row r="10" customFormat="false" ht="57.75" hidden="false" customHeight="true" outlineLevel="0" collapsed="false">
      <c r="C10" s="5" t="s">
        <v>231</v>
      </c>
      <c r="D10" s="22" t="n">
        <f aca="false">Saldos!D16</f>
        <v>10437548</v>
      </c>
      <c r="E10" s="22" t="n">
        <f aca="false">Saldos!E16</f>
        <v>9662833</v>
      </c>
      <c r="F10" s="24" t="n">
        <f aca="false">Saldos!D16/Saldos!E16-1</f>
        <v>0.0801747272254421</v>
      </c>
      <c r="G10" s="22" t="n">
        <f aca="false">Materialidade!D16</f>
        <v>17706.75</v>
      </c>
      <c r="H10" s="5" t="s">
        <v>232</v>
      </c>
    </row>
    <row r="11" customFormat="false" ht="57.75" hidden="false" customHeight="true" outlineLevel="0" collapsed="false">
      <c r="C11" s="5" t="s">
        <v>233</v>
      </c>
      <c r="D11" s="22" t="n">
        <f aca="false">Saldos!D17</f>
        <v>708270</v>
      </c>
      <c r="E11" s="22" t="n">
        <f aca="false">Saldos!E17</f>
        <v>823185</v>
      </c>
      <c r="F11" s="24" t="n">
        <f aca="false">Saldos!D17/Saldos!E17-1</f>
        <v>-0.139598024745349</v>
      </c>
      <c r="G11" s="22" t="n">
        <f aca="false">Materialidade!D16</f>
        <v>17706.75</v>
      </c>
      <c r="H11" s="5" t="s">
        <v>234</v>
      </c>
    </row>
    <row r="12" customFormat="false" ht="57.75" hidden="false" customHeight="true" outlineLevel="0" collapsed="false">
      <c r="C12" s="5" t="s">
        <v>235</v>
      </c>
      <c r="D12" s="22" t="n">
        <f aca="false">Saldos!D10</f>
        <v>3570990</v>
      </c>
      <c r="E12" s="22" t="n">
        <f aca="false">Saldos!E10</f>
        <v>3590675</v>
      </c>
      <c r="F12" s="24" t="n">
        <f aca="false">Saldos!D10/Saldos!E10-1</f>
        <v>-0.00548225612175979</v>
      </c>
      <c r="G12" s="22" t="n">
        <f aca="false">Materialidade!D16</f>
        <v>17706.75</v>
      </c>
      <c r="H12" s="5" t="s">
        <v>236</v>
      </c>
    </row>
  </sheetData>
  <autoFilter ref="C8:H12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I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4"/>
    <col collapsed="false" customWidth="true" hidden="false" outlineLevel="0" max="9" min="4" style="0" width="46"/>
  </cols>
  <sheetData>
    <row r="3" customFormat="false" ht="24.75" hidden="false" customHeight="true" outlineLevel="0" collapsed="false">
      <c r="C3" s="1" t="s">
        <v>237</v>
      </c>
    </row>
    <row r="5" customFormat="false" ht="15" hidden="false" customHeight="false" outlineLevel="0" collapsed="false">
      <c r="C5" s="2" t="s">
        <v>238</v>
      </c>
    </row>
    <row r="6" customFormat="false" ht="15" hidden="false" customHeight="false" outlineLevel="0" collapsed="false">
      <c r="C6" s="3" t="s">
        <v>239</v>
      </c>
    </row>
    <row r="8" customFormat="false" ht="31.5" hidden="false" customHeight="true" outlineLevel="0" collapsed="false">
      <c r="C8" s="4" t="s">
        <v>240</v>
      </c>
      <c r="D8" s="4" t="s">
        <v>241</v>
      </c>
      <c r="E8" s="4" t="s">
        <v>242</v>
      </c>
      <c r="F8" s="4" t="s">
        <v>243</v>
      </c>
      <c r="G8" s="4" t="s">
        <v>244</v>
      </c>
      <c r="H8" s="4" t="s">
        <v>245</v>
      </c>
      <c r="I8" s="4" t="s">
        <v>246</v>
      </c>
    </row>
    <row r="9" customFormat="false" ht="105" hidden="false" customHeight="true" outlineLevel="0" collapsed="false">
      <c r="C9" s="5" t="s">
        <v>247</v>
      </c>
      <c r="D9" s="5" t="s">
        <v>248</v>
      </c>
      <c r="E9" s="5" t="s">
        <v>249</v>
      </c>
      <c r="F9" s="5" t="s">
        <v>250</v>
      </c>
      <c r="G9" s="5" t="s">
        <v>251</v>
      </c>
      <c r="H9" s="5" t="s">
        <v>252</v>
      </c>
      <c r="I9" s="5" t="s">
        <v>253</v>
      </c>
    </row>
    <row r="10" customFormat="false" ht="105" hidden="false" customHeight="true" outlineLevel="0" collapsed="false">
      <c r="C10" s="5" t="s">
        <v>254</v>
      </c>
      <c r="D10" s="5" t="s">
        <v>255</v>
      </c>
      <c r="E10" s="5" t="s">
        <v>256</v>
      </c>
      <c r="F10" s="5" t="s">
        <v>257</v>
      </c>
      <c r="G10" s="5" t="s">
        <v>258</v>
      </c>
      <c r="H10" s="5" t="s">
        <v>259</v>
      </c>
      <c r="I10" s="5" t="s">
        <v>260</v>
      </c>
    </row>
    <row r="11" customFormat="false" ht="105" hidden="false" customHeight="true" outlineLevel="0" collapsed="false">
      <c r="C11" s="5" t="s">
        <v>261</v>
      </c>
      <c r="D11" s="5" t="s">
        <v>262</v>
      </c>
      <c r="E11" s="5" t="s">
        <v>263</v>
      </c>
      <c r="F11" s="5" t="s">
        <v>264</v>
      </c>
      <c r="G11" s="5" t="s">
        <v>265</v>
      </c>
      <c r="H11" s="5" t="s">
        <v>266</v>
      </c>
      <c r="I11" s="5" t="s">
        <v>267</v>
      </c>
    </row>
    <row r="12" customFormat="false" ht="105" hidden="false" customHeight="true" outlineLevel="0" collapsed="false">
      <c r="C12" s="5" t="s">
        <v>268</v>
      </c>
      <c r="D12" s="5" t="s">
        <v>269</v>
      </c>
      <c r="E12" s="5" t="s">
        <v>270</v>
      </c>
      <c r="F12" s="5" t="s">
        <v>271</v>
      </c>
      <c r="G12" s="5" t="s">
        <v>272</v>
      </c>
      <c r="H12" s="5" t="s">
        <v>273</v>
      </c>
      <c r="I12" s="5" t="s">
        <v>274</v>
      </c>
    </row>
    <row r="13" customFormat="false" ht="105" hidden="false" customHeight="true" outlineLevel="0" collapsed="false">
      <c r="C13" s="5" t="s">
        <v>275</v>
      </c>
      <c r="D13" s="5" t="s">
        <v>276</v>
      </c>
      <c r="E13" s="5" t="s">
        <v>277</v>
      </c>
      <c r="F13" s="5" t="s">
        <v>278</v>
      </c>
      <c r="G13" s="5" t="s">
        <v>279</v>
      </c>
      <c r="H13" s="5" t="s">
        <v>280</v>
      </c>
      <c r="I13" s="5" t="s">
        <v>281</v>
      </c>
    </row>
    <row r="14" customFormat="false" ht="105" hidden="false" customHeight="true" outlineLevel="0" collapsed="false">
      <c r="C14" s="5" t="s">
        <v>282</v>
      </c>
      <c r="D14" s="5" t="s">
        <v>283</v>
      </c>
      <c r="E14" s="5" t="s">
        <v>284</v>
      </c>
      <c r="F14" s="5" t="s">
        <v>285</v>
      </c>
      <c r="G14" s="5" t="s">
        <v>286</v>
      </c>
      <c r="H14" s="5" t="s">
        <v>287</v>
      </c>
      <c r="I14" s="5" t="s">
        <v>288</v>
      </c>
    </row>
    <row r="15" customFormat="false" ht="105" hidden="false" customHeight="true" outlineLevel="0" collapsed="false">
      <c r="C15" s="5" t="s">
        <v>282</v>
      </c>
      <c r="D15" s="5" t="s">
        <v>289</v>
      </c>
      <c r="E15" s="5" t="s">
        <v>290</v>
      </c>
      <c r="F15" s="5" t="s">
        <v>285</v>
      </c>
      <c r="G15" s="5" t="s">
        <v>291</v>
      </c>
      <c r="H15" s="5" t="s">
        <v>292</v>
      </c>
      <c r="I15" s="5" t="s">
        <v>293</v>
      </c>
    </row>
    <row r="16" customFormat="false" ht="105" hidden="false" customHeight="true" outlineLevel="0" collapsed="false">
      <c r="C16" s="5" t="s">
        <v>294</v>
      </c>
      <c r="D16" s="5" t="s">
        <v>295</v>
      </c>
      <c r="E16" s="5" t="s">
        <v>296</v>
      </c>
      <c r="F16" s="5" t="s">
        <v>297</v>
      </c>
      <c r="G16" s="5" t="s">
        <v>298</v>
      </c>
      <c r="H16" s="5" t="s">
        <v>299</v>
      </c>
      <c r="I16" s="5" t="s">
        <v>300</v>
      </c>
    </row>
    <row r="17" customFormat="false" ht="105" hidden="false" customHeight="true" outlineLevel="0" collapsed="false">
      <c r="C17" s="5" t="s">
        <v>301</v>
      </c>
      <c r="D17" s="5" t="s">
        <v>302</v>
      </c>
      <c r="E17" s="5" t="s">
        <v>303</v>
      </c>
      <c r="F17" s="5" t="s">
        <v>304</v>
      </c>
      <c r="G17" s="5" t="s">
        <v>305</v>
      </c>
      <c r="H17" s="5" t="s">
        <v>306</v>
      </c>
      <c r="I17" s="5" t="s">
        <v>307</v>
      </c>
    </row>
    <row r="18" customFormat="false" ht="105" hidden="false" customHeight="true" outlineLevel="0" collapsed="false">
      <c r="C18" s="5" t="s">
        <v>308</v>
      </c>
      <c r="D18" s="5" t="s">
        <v>309</v>
      </c>
      <c r="E18" s="5" t="s">
        <v>310</v>
      </c>
      <c r="F18" s="5" t="s">
        <v>285</v>
      </c>
      <c r="G18" s="5" t="s">
        <v>311</v>
      </c>
      <c r="H18" s="5" t="s">
        <v>312</v>
      </c>
      <c r="I18" s="5" t="s">
        <v>313</v>
      </c>
    </row>
    <row r="19" customFormat="false" ht="105" hidden="false" customHeight="true" outlineLevel="0" collapsed="false">
      <c r="C19" s="5" t="s">
        <v>314</v>
      </c>
      <c r="D19" s="5" t="s">
        <v>315</v>
      </c>
      <c r="E19" s="5" t="s">
        <v>316</v>
      </c>
      <c r="F19" s="5" t="s">
        <v>317</v>
      </c>
      <c r="G19" s="5" t="s">
        <v>318</v>
      </c>
      <c r="H19" s="5" t="s">
        <v>319</v>
      </c>
      <c r="I19" s="5" t="s">
        <v>320</v>
      </c>
    </row>
    <row r="20" customFormat="false" ht="105" hidden="false" customHeight="true" outlineLevel="0" collapsed="false">
      <c r="C20" s="5" t="s">
        <v>321</v>
      </c>
      <c r="D20" s="5" t="s">
        <v>322</v>
      </c>
      <c r="E20" s="5" t="s">
        <v>323</v>
      </c>
      <c r="F20" s="5" t="s">
        <v>324</v>
      </c>
      <c r="G20" s="5" t="s">
        <v>325</v>
      </c>
      <c r="H20" s="5" t="s">
        <v>326</v>
      </c>
      <c r="I20" s="5" t="s">
        <v>327</v>
      </c>
    </row>
    <row r="21" customFormat="false" ht="105" hidden="false" customHeight="true" outlineLevel="0" collapsed="false">
      <c r="C21" s="5" t="s">
        <v>328</v>
      </c>
      <c r="D21" s="5" t="s">
        <v>329</v>
      </c>
      <c r="E21" s="5" t="s">
        <v>330</v>
      </c>
      <c r="F21" s="5" t="s">
        <v>331</v>
      </c>
      <c r="G21" s="5" t="s">
        <v>332</v>
      </c>
      <c r="H21" s="5" t="s">
        <v>333</v>
      </c>
      <c r="I21" s="5" t="s">
        <v>334</v>
      </c>
    </row>
    <row r="22" customFormat="false" ht="105" hidden="false" customHeight="true" outlineLevel="0" collapsed="false">
      <c r="C22" s="5" t="s">
        <v>335</v>
      </c>
      <c r="D22" s="5" t="s">
        <v>336</v>
      </c>
      <c r="E22" s="5" t="s">
        <v>337</v>
      </c>
      <c r="F22" s="5" t="s">
        <v>338</v>
      </c>
      <c r="G22" s="5" t="s">
        <v>339</v>
      </c>
      <c r="H22" s="5" t="s">
        <v>340</v>
      </c>
      <c r="I22" s="5" t="s">
        <v>341</v>
      </c>
    </row>
  </sheetData>
  <autoFilter ref="C8:I22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rowBreaks count="1" manualBreakCount="1">
    <brk id="15" man="true" max="16383" min="0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G6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4"/>
    <col collapsed="false" customWidth="true" hidden="false" outlineLevel="0" max="7" min="4" style="0" width="46"/>
  </cols>
  <sheetData>
    <row r="3" customFormat="false" ht="24.75" hidden="false" customHeight="true" outlineLevel="0" collapsed="false">
      <c r="C3" s="1" t="s">
        <v>342</v>
      </c>
    </row>
    <row r="5" customFormat="false" ht="15" hidden="false" customHeight="false" outlineLevel="0" collapsed="false">
      <c r="C5" s="2" t="s">
        <v>343</v>
      </c>
    </row>
    <row r="6" customFormat="false" ht="15" hidden="false" customHeight="false" outlineLevel="0" collapsed="false">
      <c r="C6" s="3" t="s">
        <v>344</v>
      </c>
    </row>
    <row r="8" customFormat="false" ht="31.5" hidden="false" customHeight="true" outlineLevel="0" collapsed="false">
      <c r="C8" s="4" t="s">
        <v>345</v>
      </c>
      <c r="D8" s="4" t="s">
        <v>346</v>
      </c>
      <c r="E8" s="4" t="s">
        <v>347</v>
      </c>
      <c r="F8" s="4" t="s">
        <v>348</v>
      </c>
      <c r="G8" s="4" t="s">
        <v>349</v>
      </c>
    </row>
    <row r="9" customFormat="false" ht="54.75" hidden="false" customHeight="true" outlineLevel="0" collapsed="false">
      <c r="C9" s="5" t="s">
        <v>350</v>
      </c>
      <c r="D9" s="5" t="s">
        <v>351</v>
      </c>
      <c r="E9" s="5" t="s">
        <v>352</v>
      </c>
      <c r="F9" s="5" t="s">
        <v>353</v>
      </c>
      <c r="G9" s="5" t="s">
        <v>354</v>
      </c>
    </row>
    <row r="10" customFormat="false" ht="54.75" hidden="false" customHeight="true" outlineLevel="0" collapsed="false">
      <c r="C10" s="5" t="s">
        <v>355</v>
      </c>
      <c r="D10" s="5" t="s">
        <v>356</v>
      </c>
      <c r="E10" s="5" t="s">
        <v>357</v>
      </c>
      <c r="F10" s="5" t="s">
        <v>358</v>
      </c>
      <c r="G10" s="5" t="s">
        <v>359</v>
      </c>
    </row>
    <row r="11" customFormat="false" ht="54.75" hidden="false" customHeight="true" outlineLevel="0" collapsed="false">
      <c r="C11" s="5" t="s">
        <v>360</v>
      </c>
      <c r="D11" s="5" t="s">
        <v>361</v>
      </c>
      <c r="E11" s="5" t="s">
        <v>357</v>
      </c>
      <c r="F11" s="5" t="s">
        <v>362</v>
      </c>
      <c r="G11" s="5" t="s">
        <v>363</v>
      </c>
    </row>
    <row r="12" customFormat="false" ht="54.75" hidden="false" customHeight="true" outlineLevel="0" collapsed="false">
      <c r="C12" s="5" t="s">
        <v>364</v>
      </c>
      <c r="D12" s="5" t="s">
        <v>365</v>
      </c>
      <c r="E12" s="5" t="s">
        <v>366</v>
      </c>
      <c r="F12" s="5" t="s">
        <v>367</v>
      </c>
      <c r="G12" s="5" t="s">
        <v>368</v>
      </c>
    </row>
    <row r="13" customFormat="false" ht="54.75" hidden="false" customHeight="true" outlineLevel="0" collapsed="false">
      <c r="C13" s="5" t="s">
        <v>369</v>
      </c>
      <c r="D13" s="5" t="s">
        <v>370</v>
      </c>
      <c r="E13" s="5" t="s">
        <v>357</v>
      </c>
      <c r="F13" s="5" t="s">
        <v>371</v>
      </c>
      <c r="G13" s="5" t="s">
        <v>372</v>
      </c>
    </row>
    <row r="14" customFormat="false" ht="54.75" hidden="false" customHeight="true" outlineLevel="0" collapsed="false">
      <c r="C14" s="5" t="s">
        <v>373</v>
      </c>
      <c r="D14" s="5" t="s">
        <v>374</v>
      </c>
      <c r="E14" s="5" t="s">
        <v>357</v>
      </c>
      <c r="F14" s="5" t="s">
        <v>375</v>
      </c>
      <c r="G14" s="5" t="s">
        <v>376</v>
      </c>
    </row>
    <row r="15" customFormat="false" ht="54.75" hidden="false" customHeight="true" outlineLevel="0" collapsed="false">
      <c r="C15" s="5" t="s">
        <v>377</v>
      </c>
      <c r="D15" s="5" t="s">
        <v>378</v>
      </c>
      <c r="E15" s="5" t="s">
        <v>379</v>
      </c>
      <c r="F15" s="5" t="s">
        <v>380</v>
      </c>
      <c r="G15" s="5" t="s">
        <v>381</v>
      </c>
    </row>
    <row r="16" customFormat="false" ht="54.75" hidden="false" customHeight="true" outlineLevel="0" collapsed="false">
      <c r="C16" s="5" t="s">
        <v>382</v>
      </c>
      <c r="D16" s="5" t="s">
        <v>383</v>
      </c>
      <c r="E16" s="5" t="s">
        <v>384</v>
      </c>
      <c r="F16" s="5" t="s">
        <v>385</v>
      </c>
      <c r="G16" s="5" t="s">
        <v>386</v>
      </c>
    </row>
    <row r="17" customFormat="false" ht="54.75" hidden="false" customHeight="true" outlineLevel="0" collapsed="false">
      <c r="C17" s="5" t="s">
        <v>387</v>
      </c>
      <c r="D17" s="5" t="s">
        <v>388</v>
      </c>
      <c r="E17" s="5" t="s">
        <v>357</v>
      </c>
      <c r="F17" s="5" t="s">
        <v>389</v>
      </c>
      <c r="G17" s="5" t="s">
        <v>390</v>
      </c>
    </row>
    <row r="18" customFormat="false" ht="54.75" hidden="false" customHeight="true" outlineLevel="0" collapsed="false">
      <c r="C18" s="5" t="s">
        <v>391</v>
      </c>
      <c r="D18" s="5" t="s">
        <v>392</v>
      </c>
      <c r="E18" s="5" t="s">
        <v>357</v>
      </c>
      <c r="F18" s="5" t="s">
        <v>393</v>
      </c>
      <c r="G18" s="5" t="s">
        <v>394</v>
      </c>
    </row>
    <row r="19" customFormat="false" ht="54.75" hidden="false" customHeight="true" outlineLevel="0" collapsed="false">
      <c r="C19" s="5" t="s">
        <v>395</v>
      </c>
      <c r="D19" s="5" t="s">
        <v>396</v>
      </c>
      <c r="E19" s="5" t="s">
        <v>397</v>
      </c>
      <c r="F19" s="5" t="s">
        <v>398</v>
      </c>
      <c r="G19" s="5" t="s">
        <v>399</v>
      </c>
    </row>
    <row r="20" customFormat="false" ht="54.75" hidden="false" customHeight="true" outlineLevel="0" collapsed="false">
      <c r="C20" s="5" t="s">
        <v>400</v>
      </c>
      <c r="D20" s="5" t="s">
        <v>401</v>
      </c>
      <c r="E20" s="5" t="s">
        <v>357</v>
      </c>
      <c r="F20" s="5" t="s">
        <v>402</v>
      </c>
      <c r="G20" s="5" t="s">
        <v>403</v>
      </c>
    </row>
    <row r="21" customFormat="false" ht="54.75" hidden="false" customHeight="true" outlineLevel="0" collapsed="false">
      <c r="C21" s="5" t="s">
        <v>268</v>
      </c>
      <c r="D21" s="5" t="s">
        <v>404</v>
      </c>
      <c r="E21" s="5" t="s">
        <v>357</v>
      </c>
      <c r="F21" s="5" t="s">
        <v>405</v>
      </c>
      <c r="G21" s="5" t="s">
        <v>406</v>
      </c>
    </row>
    <row r="22" customFormat="false" ht="54.75" hidden="false" customHeight="true" outlineLevel="0" collapsed="false">
      <c r="C22" s="5" t="s">
        <v>407</v>
      </c>
      <c r="D22" s="5" t="s">
        <v>408</v>
      </c>
      <c r="E22" s="5" t="s">
        <v>357</v>
      </c>
      <c r="F22" s="5" t="s">
        <v>409</v>
      </c>
      <c r="G22" s="5" t="s">
        <v>410</v>
      </c>
    </row>
    <row r="23" customFormat="false" ht="54.75" hidden="false" customHeight="true" outlineLevel="0" collapsed="false">
      <c r="C23" s="5" t="s">
        <v>411</v>
      </c>
      <c r="D23" s="5" t="s">
        <v>412</v>
      </c>
      <c r="E23" s="5" t="s">
        <v>357</v>
      </c>
      <c r="F23" s="5" t="s">
        <v>413</v>
      </c>
      <c r="G23" s="5" t="s">
        <v>414</v>
      </c>
    </row>
    <row r="24" customFormat="false" ht="54.75" hidden="false" customHeight="true" outlineLevel="0" collapsed="false">
      <c r="C24" s="5" t="s">
        <v>415</v>
      </c>
      <c r="D24" s="5" t="s">
        <v>416</v>
      </c>
      <c r="E24" s="5" t="s">
        <v>357</v>
      </c>
      <c r="F24" s="5" t="s">
        <v>417</v>
      </c>
      <c r="G24" s="5" t="s">
        <v>418</v>
      </c>
    </row>
    <row r="25" customFormat="false" ht="54.75" hidden="false" customHeight="true" outlineLevel="0" collapsed="false">
      <c r="C25" s="5" t="s">
        <v>275</v>
      </c>
      <c r="D25" s="5" t="s">
        <v>419</v>
      </c>
      <c r="E25" s="5" t="s">
        <v>357</v>
      </c>
      <c r="F25" s="5" t="s">
        <v>420</v>
      </c>
      <c r="G25" s="5" t="s">
        <v>421</v>
      </c>
    </row>
    <row r="26" customFormat="false" ht="54.75" hidden="false" customHeight="true" outlineLevel="0" collapsed="false">
      <c r="C26" s="5" t="s">
        <v>308</v>
      </c>
      <c r="D26" s="5" t="s">
        <v>422</v>
      </c>
      <c r="E26" s="5" t="s">
        <v>357</v>
      </c>
      <c r="F26" s="5" t="s">
        <v>423</v>
      </c>
      <c r="G26" s="5" t="s">
        <v>424</v>
      </c>
    </row>
    <row r="27" customFormat="false" ht="54.75" hidden="false" customHeight="true" outlineLevel="0" collapsed="false">
      <c r="C27" s="5" t="s">
        <v>425</v>
      </c>
      <c r="D27" s="5" t="s">
        <v>426</v>
      </c>
      <c r="E27" s="5" t="s">
        <v>357</v>
      </c>
      <c r="F27" s="5" t="s">
        <v>427</v>
      </c>
      <c r="G27" s="5" t="s">
        <v>428</v>
      </c>
    </row>
    <row r="28" customFormat="false" ht="54.75" hidden="false" customHeight="true" outlineLevel="0" collapsed="false">
      <c r="C28" s="5" t="s">
        <v>429</v>
      </c>
      <c r="D28" s="5" t="s">
        <v>430</v>
      </c>
      <c r="E28" s="5" t="s">
        <v>357</v>
      </c>
      <c r="F28" s="5" t="s">
        <v>431</v>
      </c>
      <c r="G28" s="5" t="s">
        <v>432</v>
      </c>
    </row>
    <row r="29" customFormat="false" ht="54.75" hidden="false" customHeight="true" outlineLevel="0" collapsed="false">
      <c r="C29" s="5" t="s">
        <v>261</v>
      </c>
      <c r="D29" s="5" t="s">
        <v>433</v>
      </c>
      <c r="E29" s="5" t="s">
        <v>357</v>
      </c>
      <c r="F29" s="5" t="s">
        <v>434</v>
      </c>
      <c r="G29" s="5" t="s">
        <v>435</v>
      </c>
    </row>
    <row r="30" customFormat="false" ht="54.75" hidden="false" customHeight="true" outlineLevel="0" collapsed="false">
      <c r="C30" s="5" t="s">
        <v>314</v>
      </c>
      <c r="D30" s="5" t="s">
        <v>436</v>
      </c>
      <c r="E30" s="5" t="s">
        <v>437</v>
      </c>
      <c r="F30" s="5" t="s">
        <v>438</v>
      </c>
      <c r="G30" s="5" t="s">
        <v>439</v>
      </c>
    </row>
    <row r="31" customFormat="false" ht="54.75" hidden="false" customHeight="true" outlineLevel="0" collapsed="false">
      <c r="C31" s="5" t="s">
        <v>440</v>
      </c>
      <c r="D31" s="5" t="s">
        <v>441</v>
      </c>
      <c r="E31" s="5" t="s">
        <v>357</v>
      </c>
      <c r="F31" s="5" t="s">
        <v>442</v>
      </c>
      <c r="G31" s="5" t="s">
        <v>443</v>
      </c>
    </row>
    <row r="32" customFormat="false" ht="54.75" hidden="false" customHeight="true" outlineLevel="0" collapsed="false">
      <c r="C32" s="5" t="s">
        <v>444</v>
      </c>
      <c r="D32" s="5" t="s">
        <v>445</v>
      </c>
      <c r="E32" s="5" t="s">
        <v>357</v>
      </c>
      <c r="F32" s="5" t="s">
        <v>446</v>
      </c>
      <c r="G32" s="5" t="s">
        <v>447</v>
      </c>
    </row>
    <row r="33" customFormat="false" ht="54.75" hidden="false" customHeight="true" outlineLevel="0" collapsed="false">
      <c r="C33" s="5" t="s">
        <v>328</v>
      </c>
      <c r="D33" s="5" t="s">
        <v>448</v>
      </c>
      <c r="E33" s="5" t="s">
        <v>384</v>
      </c>
      <c r="F33" s="5" t="s">
        <v>449</v>
      </c>
      <c r="G33" s="5" t="s">
        <v>450</v>
      </c>
    </row>
    <row r="34" customFormat="false" ht="54.75" hidden="false" customHeight="true" outlineLevel="0" collapsed="false">
      <c r="C34" s="5" t="s">
        <v>451</v>
      </c>
      <c r="D34" s="5" t="s">
        <v>452</v>
      </c>
      <c r="E34" s="5" t="s">
        <v>357</v>
      </c>
      <c r="F34" s="5" t="s">
        <v>453</v>
      </c>
      <c r="G34" s="5" t="s">
        <v>454</v>
      </c>
    </row>
    <row r="35" customFormat="false" ht="54.75" hidden="false" customHeight="true" outlineLevel="0" collapsed="false">
      <c r="C35" s="5" t="s">
        <v>335</v>
      </c>
      <c r="D35" s="5" t="s">
        <v>455</v>
      </c>
      <c r="E35" s="5" t="s">
        <v>456</v>
      </c>
      <c r="F35" s="5" t="s">
        <v>457</v>
      </c>
      <c r="G35" s="5" t="s">
        <v>458</v>
      </c>
    </row>
    <row r="36" customFormat="false" ht="54.75" hidden="false" customHeight="true" outlineLevel="0" collapsed="false">
      <c r="C36" s="5" t="s">
        <v>459</v>
      </c>
      <c r="D36" s="5" t="s">
        <v>460</v>
      </c>
      <c r="E36" s="5" t="s">
        <v>461</v>
      </c>
      <c r="F36" s="5" t="s">
        <v>462</v>
      </c>
      <c r="G36" s="5" t="s">
        <v>463</v>
      </c>
    </row>
    <row r="37" customFormat="false" ht="54.75" hidden="false" customHeight="true" outlineLevel="0" collapsed="false">
      <c r="C37" s="5" t="s">
        <v>464</v>
      </c>
      <c r="D37" s="5" t="s">
        <v>465</v>
      </c>
      <c r="E37" s="5" t="s">
        <v>461</v>
      </c>
      <c r="F37" s="5" t="s">
        <v>466</v>
      </c>
      <c r="G37" s="5" t="s">
        <v>467</v>
      </c>
    </row>
    <row r="38" customFormat="false" ht="54.75" hidden="false" customHeight="true" outlineLevel="0" collapsed="false">
      <c r="C38" s="5" t="s">
        <v>468</v>
      </c>
      <c r="D38" s="5" t="s">
        <v>469</v>
      </c>
      <c r="E38" s="5" t="s">
        <v>461</v>
      </c>
      <c r="F38" s="5" t="s">
        <v>470</v>
      </c>
      <c r="G38" s="5" t="s">
        <v>471</v>
      </c>
    </row>
    <row r="39" customFormat="false" ht="54.75" hidden="false" customHeight="true" outlineLevel="0" collapsed="false">
      <c r="C39" s="5" t="s">
        <v>472</v>
      </c>
      <c r="D39" s="5" t="s">
        <v>473</v>
      </c>
      <c r="E39" s="5" t="s">
        <v>461</v>
      </c>
      <c r="F39" s="5" t="s">
        <v>474</v>
      </c>
      <c r="G39" s="5" t="s">
        <v>475</v>
      </c>
    </row>
    <row r="40" customFormat="false" ht="54.75" hidden="false" customHeight="true" outlineLevel="0" collapsed="false">
      <c r="C40" s="5" t="s">
        <v>476</v>
      </c>
      <c r="D40" s="5" t="s">
        <v>477</v>
      </c>
      <c r="E40" s="5" t="s">
        <v>478</v>
      </c>
      <c r="F40" s="5" t="s">
        <v>479</v>
      </c>
      <c r="G40" s="5" t="s">
        <v>480</v>
      </c>
    </row>
    <row r="41" customFormat="false" ht="54.75" hidden="false" customHeight="true" outlineLevel="0" collapsed="false">
      <c r="C41" s="5" t="s">
        <v>481</v>
      </c>
      <c r="D41" s="5" t="s">
        <v>482</v>
      </c>
      <c r="E41" s="5" t="s">
        <v>483</v>
      </c>
      <c r="F41" s="5" t="s">
        <v>484</v>
      </c>
      <c r="G41" s="5" t="s">
        <v>485</v>
      </c>
    </row>
    <row r="42" customFormat="false" ht="54.75" hidden="false" customHeight="true" outlineLevel="0" collapsed="false">
      <c r="C42" s="5" t="s">
        <v>486</v>
      </c>
      <c r="D42" s="5" t="s">
        <v>487</v>
      </c>
      <c r="E42" s="5" t="s">
        <v>488</v>
      </c>
      <c r="F42" s="5" t="s">
        <v>489</v>
      </c>
      <c r="G42" s="5" t="s">
        <v>490</v>
      </c>
    </row>
    <row r="43" customFormat="false" ht="54.75" hidden="false" customHeight="true" outlineLevel="0" collapsed="false">
      <c r="C43" s="5" t="s">
        <v>491</v>
      </c>
      <c r="D43" s="5" t="s">
        <v>492</v>
      </c>
      <c r="E43" s="5" t="s">
        <v>493</v>
      </c>
      <c r="F43" s="5" t="s">
        <v>494</v>
      </c>
      <c r="G43" s="5" t="s">
        <v>495</v>
      </c>
    </row>
    <row r="44" customFormat="false" ht="54.75" hidden="false" customHeight="true" outlineLevel="0" collapsed="false">
      <c r="C44" s="5" t="s">
        <v>496</v>
      </c>
      <c r="D44" s="5" t="s">
        <v>497</v>
      </c>
      <c r="E44" s="5" t="s">
        <v>498</v>
      </c>
      <c r="F44" s="5" t="s">
        <v>499</v>
      </c>
      <c r="G44" s="5" t="s">
        <v>500</v>
      </c>
    </row>
    <row r="45" customFormat="false" ht="54.75" hidden="false" customHeight="true" outlineLevel="0" collapsed="false">
      <c r="C45" s="5" t="s">
        <v>501</v>
      </c>
      <c r="D45" s="5" t="s">
        <v>502</v>
      </c>
      <c r="E45" s="5" t="s">
        <v>498</v>
      </c>
      <c r="F45" s="5" t="s">
        <v>503</v>
      </c>
      <c r="G45" s="5" t="s">
        <v>504</v>
      </c>
    </row>
    <row r="46" customFormat="false" ht="54.75" hidden="false" customHeight="true" outlineLevel="0" collapsed="false">
      <c r="C46" s="5" t="s">
        <v>505</v>
      </c>
      <c r="D46" s="5" t="s">
        <v>506</v>
      </c>
      <c r="E46" s="5" t="s">
        <v>498</v>
      </c>
      <c r="F46" s="5" t="s">
        <v>507</v>
      </c>
      <c r="G46" s="5" t="s">
        <v>508</v>
      </c>
    </row>
    <row r="47" customFormat="false" ht="54.75" hidden="false" customHeight="true" outlineLevel="0" collapsed="false">
      <c r="C47" s="5" t="s">
        <v>509</v>
      </c>
      <c r="D47" s="5" t="s">
        <v>510</v>
      </c>
      <c r="E47" s="5" t="s">
        <v>498</v>
      </c>
      <c r="F47" s="5" t="s">
        <v>511</v>
      </c>
      <c r="G47" s="5" t="s">
        <v>512</v>
      </c>
    </row>
    <row r="48" customFormat="false" ht="54.75" hidden="false" customHeight="true" outlineLevel="0" collapsed="false">
      <c r="C48" s="5" t="s">
        <v>513</v>
      </c>
      <c r="D48" s="5" t="s">
        <v>514</v>
      </c>
      <c r="E48" s="5" t="s">
        <v>498</v>
      </c>
      <c r="F48" s="5" t="s">
        <v>515</v>
      </c>
      <c r="G48" s="5" t="s">
        <v>516</v>
      </c>
    </row>
    <row r="49" customFormat="false" ht="54.75" hidden="false" customHeight="true" outlineLevel="0" collapsed="false">
      <c r="C49" s="5" t="s">
        <v>517</v>
      </c>
      <c r="D49" s="5" t="s">
        <v>518</v>
      </c>
      <c r="E49" s="5" t="s">
        <v>498</v>
      </c>
      <c r="F49" s="5" t="s">
        <v>519</v>
      </c>
      <c r="G49" s="5" t="s">
        <v>520</v>
      </c>
    </row>
    <row r="50" customFormat="false" ht="54.75" hidden="false" customHeight="true" outlineLevel="0" collapsed="false">
      <c r="C50" s="5" t="s">
        <v>521</v>
      </c>
      <c r="D50" s="5" t="s">
        <v>522</v>
      </c>
      <c r="E50" s="5" t="s">
        <v>498</v>
      </c>
      <c r="F50" s="5" t="s">
        <v>523</v>
      </c>
      <c r="G50" s="5" t="s">
        <v>524</v>
      </c>
    </row>
    <row r="51" customFormat="false" ht="54.75" hidden="false" customHeight="true" outlineLevel="0" collapsed="false">
      <c r="C51" s="5" t="s">
        <v>525</v>
      </c>
      <c r="D51" s="5" t="s">
        <v>526</v>
      </c>
      <c r="E51" s="5" t="s">
        <v>498</v>
      </c>
      <c r="F51" s="5" t="s">
        <v>527</v>
      </c>
      <c r="G51" s="5" t="s">
        <v>528</v>
      </c>
    </row>
    <row r="52" customFormat="false" ht="54.75" hidden="false" customHeight="true" outlineLevel="0" collapsed="false">
      <c r="C52" s="5" t="s">
        <v>529</v>
      </c>
      <c r="D52" s="5" t="s">
        <v>530</v>
      </c>
      <c r="E52" s="5" t="s">
        <v>498</v>
      </c>
      <c r="F52" s="5" t="s">
        <v>531</v>
      </c>
      <c r="G52" s="5" t="s">
        <v>532</v>
      </c>
    </row>
    <row r="53" customFormat="false" ht="54.75" hidden="false" customHeight="true" outlineLevel="0" collapsed="false">
      <c r="C53" s="5" t="s">
        <v>533</v>
      </c>
      <c r="D53" s="5" t="s">
        <v>534</v>
      </c>
      <c r="E53" s="5" t="s">
        <v>498</v>
      </c>
      <c r="F53" s="5" t="s">
        <v>535</v>
      </c>
      <c r="G53" s="5" t="s">
        <v>536</v>
      </c>
    </row>
    <row r="54" customFormat="false" ht="54.75" hidden="false" customHeight="true" outlineLevel="0" collapsed="false">
      <c r="C54" s="5" t="s">
        <v>537</v>
      </c>
      <c r="D54" s="5" t="s">
        <v>538</v>
      </c>
      <c r="E54" s="5" t="s">
        <v>498</v>
      </c>
      <c r="F54" s="5" t="s">
        <v>539</v>
      </c>
      <c r="G54" s="5" t="s">
        <v>540</v>
      </c>
    </row>
    <row r="55" customFormat="false" ht="54.75" hidden="false" customHeight="true" outlineLevel="0" collapsed="false">
      <c r="C55" s="5" t="s">
        <v>541</v>
      </c>
      <c r="D55" s="5" t="s">
        <v>542</v>
      </c>
      <c r="E55" s="5" t="s">
        <v>498</v>
      </c>
      <c r="F55" s="5" t="s">
        <v>543</v>
      </c>
      <c r="G55" s="5" t="s">
        <v>544</v>
      </c>
    </row>
    <row r="56" customFormat="false" ht="54.75" hidden="false" customHeight="true" outlineLevel="0" collapsed="false">
      <c r="C56" s="5" t="s">
        <v>545</v>
      </c>
      <c r="D56" s="5" t="s">
        <v>546</v>
      </c>
      <c r="E56" s="5" t="s">
        <v>498</v>
      </c>
      <c r="F56" s="5" t="s">
        <v>547</v>
      </c>
      <c r="G56" s="5" t="s">
        <v>548</v>
      </c>
    </row>
    <row r="57" customFormat="false" ht="54.75" hidden="false" customHeight="true" outlineLevel="0" collapsed="false">
      <c r="C57" s="5" t="s">
        <v>549</v>
      </c>
      <c r="D57" s="5" t="s">
        <v>550</v>
      </c>
      <c r="E57" s="5" t="s">
        <v>498</v>
      </c>
      <c r="F57" s="5" t="s">
        <v>551</v>
      </c>
      <c r="G57" s="5" t="s">
        <v>552</v>
      </c>
    </row>
    <row r="58" customFormat="false" ht="54.75" hidden="false" customHeight="true" outlineLevel="0" collapsed="false">
      <c r="C58" s="5" t="s">
        <v>553</v>
      </c>
      <c r="D58" s="5" t="s">
        <v>554</v>
      </c>
      <c r="E58" s="5" t="s">
        <v>498</v>
      </c>
      <c r="F58" s="5" t="s">
        <v>555</v>
      </c>
      <c r="G58" s="5" t="s">
        <v>556</v>
      </c>
    </row>
    <row r="59" customFormat="false" ht="54.75" hidden="false" customHeight="true" outlineLevel="0" collapsed="false">
      <c r="C59" s="5" t="s">
        <v>557</v>
      </c>
      <c r="D59" s="5" t="s">
        <v>558</v>
      </c>
      <c r="E59" s="5" t="s">
        <v>559</v>
      </c>
      <c r="F59" s="5" t="s">
        <v>560</v>
      </c>
      <c r="G59" s="5" t="s">
        <v>561</v>
      </c>
    </row>
    <row r="60" customFormat="false" ht="54.75" hidden="false" customHeight="true" outlineLevel="0" collapsed="false">
      <c r="C60" s="5" t="s">
        <v>562</v>
      </c>
      <c r="D60" s="5" t="s">
        <v>563</v>
      </c>
      <c r="E60" s="5" t="s">
        <v>564</v>
      </c>
      <c r="F60" s="5" t="s">
        <v>565</v>
      </c>
      <c r="G60" s="5" t="s">
        <v>566</v>
      </c>
    </row>
  </sheetData>
  <autoFilter ref="C8:G60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2026-10-23T04:10:21Z</dcterms:created>
  <dc:creator>Trabalho acadêmico — matrícula 202062044</dc:creator>
  <dc:description/>
  <dc:language>en-US</dc:language>
  <cp:lastModifiedBy/>
  <dcterms:modified xsi:type="dcterms:W3CDTF">2026-10-23T04:10:21Z</dcterms:modified>
  <cp:revision>0</cp:revision>
  <dc:subject>Materialidade, riscos, amostragem sintética e conciliação; sem opinião independente</dc:subject>
  <dc:title>Papéis de trabalho de auditoria didática — MDIA3 2025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